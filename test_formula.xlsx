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변동성(2025-01-01)" state="visible" r:id="rId4"/>
  </sheets>
  <calcPr calcId="171027"/>
</workbook>
</file>

<file path=xl/sharedStrings.xml><?xml version="1.0" encoding="utf-8"?>
<sst xmlns="http://schemas.openxmlformats.org/spreadsheetml/2006/main" count="32" uniqueCount="31">
  <si>
    <t>Input</t>
  </si>
  <si>
    <t>조회기준</t>
  </si>
  <si>
    <t>조회기준일</t>
  </si>
  <si>
    <t>조회영업일수</t>
  </si>
  <si>
    <t>조회기간</t>
  </si>
  <si>
    <t>거래소</t>
  </si>
  <si>
    <t>조회대상</t>
  </si>
  <si>
    <t>회사명</t>
  </si>
  <si>
    <t>일자</t>
  </si>
  <si>
    <t>2025-01-01</t>
  </si>
  <si>
    <t>2024-12-17 ~ 2024-12-31</t>
  </si>
  <si>
    <t>NMS</t>
  </si>
  <si>
    <t>AAPL</t>
  </si>
  <si>
    <t>Apple Inc.</t>
  </si>
  <si>
    <t>Output</t>
  </si>
  <si>
    <t>구분</t>
  </si>
  <si>
    <t>주가(USD)</t>
  </si>
  <si>
    <t>단순 주가수익률</t>
  </si>
  <si>
    <t>연속복리 주가수익률</t>
  </si>
  <si>
    <t>주가수익률 변동의 표준편차</t>
  </si>
  <si>
    <t>연간변동성</t>
  </si>
  <si>
    <t>2024-12-31</t>
  </si>
  <si>
    <t>2024-12-30</t>
  </si>
  <si>
    <t>2024-12-27</t>
  </si>
  <si>
    <t>2024-12-26</t>
  </si>
  <si>
    <t>2024-12-24</t>
  </si>
  <si>
    <t>2024-12-23</t>
  </si>
  <si>
    <t>2024-12-20</t>
  </si>
  <si>
    <t>2024-12-19</t>
  </si>
  <si>
    <t>2024-12-18</t>
  </si>
  <si>
    <t>2024-12-17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</si>
</sst>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%"/>
  </numFmts>
  <fonts count="10" x14ac:knownFonts="1">
    <font>
      <color theme="1"/>
      <family val="2"/>
      <scheme val="minor"/>
      <sz val="11"/>
      <name val="Calibri"/>
    </font>
    <font>
      <b/>
      <color rgb="FF000000"/>
      <sz val="10"/>
      <name val="Arial"/>
    </font>
    <font>
      <b/>
      <color rgb="FF404040"/>
      <sz val="9"/>
      <name val="Arial"/>
    </font>
    <font>
      <color rgb="FF1F3864"/>
      <sz val="9"/>
      <name val="Arial"/>
    </font>
    <font>
      <color rgb="FF404040"/>
      <sz val="9"/>
      <name val="Arial"/>
    </font>
    <font>
      <color rgb="FF00338A"/>
      <sz val="9"/>
      <name val="Arial"/>
    </font>
    <font>
      <color rgb="FFC00000"/>
      <sz val="9"/>
      <name val="Arial"/>
    </font>
    <font>
      <sz val="9"/>
      <name val="Arial"/>
    </font>
    <font>
      <color rgb="FF00692B"/>
      <sz val="9"/>
      <name val="Arial"/>
    </font>
    <font>
      <b/>
      <color rgb="FFC00000"/>
      <sz val="9"/>
      <name val="Arial"/>
    </font>
  </fonts>
  <fills count="7">
    <fill>
      <patternFill patternType="none"/>
    </fill>
    <fill>
      <patternFill patternType="gray125"/>
    </fill>
    <fill>
      <patternFill patternType="solid">
        <fgColor rgb="FFFFC000"/>
      </patternFill>
    </fill>
    <fill>
      <patternFill patternType="solid">
        <fgColor rgb="FFDBDBDB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F5F5F5"/>
      </patternFill>
    </fill>
  </fills>
  <borders count="3">
    <border>
      <left/>
      <right/>
      <top/>
      <bottom/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left" vertical="center" indent="1"/>
    </xf>
    <xf numFmtId="0" fontId="2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3" fontId="3" fillId="4" borderId="2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4" fontId="5" fillId="4" borderId="2" xfId="0" applyNumberFormat="1" applyFont="1" applyFill="1" applyBorder="1" applyAlignment="1">
      <alignment horizontal="right" vertical="center"/>
    </xf>
    <xf numFmtId="164" fontId="6" fillId="4" borderId="2" xfId="0" applyNumberFormat="1" applyFont="1" applyFill="1" applyBorder="1" applyAlignment="1">
      <alignment horizontal="right" vertical="center"/>
    </xf>
    <xf numFmtId="164" fontId="2" fillId="5" borderId="2" xfId="0" applyNumberFormat="1" applyFont="1" applyFill="1" applyBorder="1" applyAlignment="1">
      <alignment horizontal="right" vertical="center"/>
    </xf>
    <xf numFmtId="0" fontId="4" fillId="6" borderId="2" xfId="0" applyFont="1" applyFill="1" applyBorder="1" applyAlignment="1">
      <alignment horizontal="center" vertical="center"/>
    </xf>
    <xf numFmtId="4" fontId="5" fillId="6" borderId="2" xfId="0" applyNumberFormat="1" applyFont="1" applyFill="1" applyBorder="1" applyAlignment="1">
      <alignment horizontal="right" vertical="center"/>
    </xf>
    <xf numFmtId="164" fontId="6" fillId="6" borderId="2" xfId="0" applyNumberFormat="1" applyFont="1" applyFill="1" applyBorder="1" applyAlignment="1">
      <alignment horizontal="right" vertical="center"/>
    </xf>
    <xf numFmtId="0" fontId="7" fillId="6" borderId="2" xfId="0" applyFont="1" applyFill="1" applyBorder="1" applyAlignment="1">
      <alignment horizontal="right" vertical="center"/>
    </xf>
    <xf numFmtId="0" fontId="7" fillId="4" borderId="2" xfId="0" applyFont="1" applyFill="1" applyBorder="1" applyAlignment="1">
      <alignment horizontal="right" vertical="center"/>
    </xf>
    <xf numFmtId="164" fontId="8" fillId="6" borderId="2" xfId="0" applyNumberFormat="1" applyFont="1" applyFill="1" applyBorder="1" applyAlignment="1">
      <alignment horizontal="right" vertical="center"/>
    </xf>
    <xf numFmtId="164" fontId="8" fillId="4" borderId="2" xfId="0" applyNumberFormat="1" applyFont="1" applyFill="1" applyBorder="1" applyAlignment="1">
      <alignment horizontal="right" vertical="center"/>
    </xf>
    <xf numFmtId="164" fontId="9" fillId="4" borderId="2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workbookViewId="0">
      <pane ySplit="9" topLeftCell="A10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3" customWidth="1"/>
    <col min="3" max="3" width="14" customWidth="1"/>
    <col min="4" max="4" width="20" customWidth="1"/>
    <col min="5" max="5" width="22" customWidth="1"/>
    <col min="6" max="6" width="28" customWidth="1"/>
    <col min="7" max="7" width="16" customWidth="1"/>
  </cols>
  <sheetData>
    <row r="1" ht="20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6" customHeight="1" x14ac:dyDescent="0.25"/>
    <row r="3" ht="20" customHeight="1" spans="1:7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ht="18" customHeight="1" spans="1:7" x14ac:dyDescent="0.25">
      <c r="A4" s="3" t="s">
        <v>8</v>
      </c>
      <c r="B4" s="3" t="s">
        <v>9</v>
      </c>
      <c r="C4" s="4">
        <v>10</v>
      </c>
      <c r="D4" s="3" t="s">
        <v>10</v>
      </c>
      <c r="E4" s="3" t="s">
        <v>11</v>
      </c>
      <c r="F4" s="3" t="s">
        <v>12</v>
      </c>
      <c r="G4" s="3" t="s">
        <v>13</v>
      </c>
    </row>
    <row r="5" ht="8" customHeight="1" x14ac:dyDescent="0.25"/>
    <row r="6" ht="20" customHeight="1" spans="1:7" x14ac:dyDescent="0.25">
      <c r="A6" s="1" t="s">
        <v>14</v>
      </c>
      <c r="B6" s="1"/>
      <c r="C6" s="1"/>
      <c r="D6" s="1"/>
      <c r="E6" s="1"/>
      <c r="F6" s="1"/>
      <c r="G6" s="1"/>
    </row>
    <row r="7" ht="6" customHeight="1" x14ac:dyDescent="0.25"/>
    <row r="8" ht="36" customHeight="1" spans="1:7" x14ac:dyDescent="0.25">
      <c r="A8" s="5" t="s">
        <v>15</v>
      </c>
      <c r="B8" s="5" t="s">
        <v>8</v>
      </c>
      <c r="C8" s="5" t="s">
        <v>16</v>
      </c>
      <c r="D8" s="5" t="s">
        <v>17</v>
      </c>
      <c r="E8" s="5" t="s">
        <v>18</v>
      </c>
      <c r="F8" s="5" t="s">
        <v>19</v>
      </c>
      <c r="G8" s="5" t="s">
        <v>20</v>
      </c>
    </row>
    <row r="9" ht="15" customHeight="1" spans="1:7" x14ac:dyDescent="0.25">
      <c r="A9" s="6">
        <v>1</v>
      </c>
      <c r="B9" s="6" t="s">
        <v>21</v>
      </c>
      <c r="C9" s="7">
        <v>250.4199981689453</v>
      </c>
      <c r="D9" s="8">
        <f>(C9-C10)/C10</f>
        <v>-0.0070578858082309005</v>
      </c>
      <c r="E9" s="8">
        <f>LN(C9/C10)</f>
        <v>-0.007082910501405731</v>
      </c>
      <c r="F9" s="9">
        <f>STDEV(E9:E17)</f>
        <v>0.013250957739770761</v>
      </c>
      <c r="G9" s="9">
        <f>F9*SQRT(252)</f>
        <v>0.21035243287715985</v>
      </c>
    </row>
    <row r="10" ht="15" customHeight="1" spans="1:7" x14ac:dyDescent="0.25">
      <c r="A10" s="10">
        <v>2</v>
      </c>
      <c r="B10" s="10" t="s">
        <v>22</v>
      </c>
      <c r="C10" s="11">
        <v>252.1999969482422</v>
      </c>
      <c r="D10" s="12">
        <f>(C10-C11)/C11</f>
        <v>-0.013263427513676434</v>
      </c>
      <c r="E10" s="12">
        <f>LN(C10/C11)</f>
        <v>-0.013352172349022858</v>
      </c>
      <c r="F10" s="13"/>
      <c r="G10" s="13"/>
    </row>
    <row r="11" ht="15" customHeight="1" spans="1:7" x14ac:dyDescent="0.25">
      <c r="A11" s="6">
        <v>3</v>
      </c>
      <c r="B11" s="6" t="s">
        <v>23</v>
      </c>
      <c r="C11" s="7">
        <v>255.58999633789062</v>
      </c>
      <c r="D11" s="8">
        <f>(C11-C12)/C12</f>
        <v>-0.01324219296295393</v>
      </c>
      <c r="E11" s="8">
        <f>LN(C11/C12)</f>
        <v>-0.01333065260116474</v>
      </c>
      <c r="F11" s="14"/>
      <c r="G11" s="14"/>
    </row>
    <row r="12" ht="15" customHeight="1" spans="1:7" x14ac:dyDescent="0.25">
      <c r="A12" s="10">
        <v>4</v>
      </c>
      <c r="B12" s="10" t="s">
        <v>24</v>
      </c>
      <c r="C12" s="11">
        <v>259.0199890136719</v>
      </c>
      <c r="D12" s="15">
        <f>(C12-C13)/C13</f>
        <v>0.003175742710589599</v>
      </c>
      <c r="E12" s="15">
        <f>LN(C12/C13)</f>
        <v>0.003170710690493793</v>
      </c>
      <c r="F12" s="13"/>
      <c r="G12" s="13"/>
    </row>
    <row r="13" ht="15" customHeight="1" spans="1:7" x14ac:dyDescent="0.25">
      <c r="A13" s="6">
        <v>5</v>
      </c>
      <c r="B13" s="6" t="s">
        <v>25</v>
      </c>
      <c r="C13" s="7">
        <v>258.20001220703125</v>
      </c>
      <c r="D13" s="16">
        <f>(C13-C14)/C14</f>
        <v>0.011478073747524938</v>
      </c>
      <c r="E13" s="16">
        <f>LN(C13/C14)</f>
        <v>0.011412700423363637</v>
      </c>
      <c r="F13" s="14"/>
      <c r="G13" s="14"/>
    </row>
    <row r="14" ht="15" customHeight="1" spans="1:7" x14ac:dyDescent="0.25">
      <c r="A14" s="10">
        <v>6</v>
      </c>
      <c r="B14" s="10" t="s">
        <v>26</v>
      </c>
      <c r="C14" s="11">
        <v>255.27000427246094</v>
      </c>
      <c r="D14" s="15">
        <f>(C14-C15)/C15</f>
        <v>0.0030649485734630423</v>
      </c>
      <c r="E14" s="15">
        <f>LN(C14/C15)</f>
        <v>0.003060261193860088</v>
      </c>
      <c r="F14" s="13"/>
      <c r="G14" s="13"/>
    </row>
    <row r="15" ht="15" customHeight="1" spans="1:7" x14ac:dyDescent="0.25">
      <c r="A15" s="6">
        <v>7</v>
      </c>
      <c r="B15" s="6" t="s">
        <v>27</v>
      </c>
      <c r="C15" s="7">
        <v>254.49000549316406</v>
      </c>
      <c r="D15" s="16">
        <f>(C15-C16)/C16</f>
        <v>0.018815854651340724</v>
      </c>
      <c r="E15" s="16">
        <f>LN(C15/C16)</f>
        <v>0.01864102608623535</v>
      </c>
      <c r="F15" s="14"/>
      <c r="G15" s="14"/>
    </row>
    <row r="16" ht="15" customHeight="1" spans="1:7" x14ac:dyDescent="0.25">
      <c r="A16" s="10">
        <v>8</v>
      </c>
      <c r="B16" s="10" t="s">
        <v>28</v>
      </c>
      <c r="C16" s="11">
        <v>249.7899932861328</v>
      </c>
      <c r="D16" s="15">
        <f>(C16-C17)/C17</f>
        <v>0.007014675319362668</v>
      </c>
      <c r="E16" s="15">
        <f>LN(C16/C17)</f>
        <v>0.006990186936454841</v>
      </c>
      <c r="F16" s="13"/>
      <c r="G16" s="13"/>
    </row>
    <row r="17" ht="15" customHeight="1" spans="1:7" x14ac:dyDescent="0.25">
      <c r="A17" s="6">
        <v>9</v>
      </c>
      <c r="B17" s="6" t="s">
        <v>29</v>
      </c>
      <c r="C17" s="7">
        <v>248.0500030517578</v>
      </c>
      <c r="D17" s="17">
        <f>(C17-C18)/C18</f>
        <v>-0.021421779893107812</v>
      </c>
      <c r="E17" s="17">
        <f>LN(C17/C18)</f>
        <v>-0.02165455655004452</v>
      </c>
      <c r="F17" s="14"/>
      <c r="G17" s="14"/>
    </row>
    <row r="18" ht="15" customHeight="1" spans="1:7" x14ac:dyDescent="0.25">
      <c r="A18" s="10">
        <v>10</v>
      </c>
      <c r="B18" s="10" t="s">
        <v>30</v>
      </c>
      <c r="C18" s="11">
        <v>253.47999572753906</v>
      </c>
      <c r="D18" s="13"/>
      <c r="E18" s="13"/>
      <c r="F18" s="13"/>
      <c r="G18" s="13"/>
    </row>
  </sheetData>
  <mergeCells count="2">
    <mergeCell ref="A1:G1"/>
    <mergeCell ref="A6:G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변동성(2025-01-01)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 Stock Analyzer</dc:creator>
  <dc:title/>
  <dc:subject/>
  <dc:description/>
  <cp:keywords/>
  <cp:category/>
  <cp:lastModifiedBy>Unknown</cp:lastModifiedBy>
  <dcterms:created xsi:type="dcterms:W3CDTF">2026-05-01T13:36:19Z</dcterms:created>
  <dcterms:modified xsi:type="dcterms:W3CDTF">2026-05-01T13:36:19Z</dcterms:modified>
</cp:coreProperties>
</file>