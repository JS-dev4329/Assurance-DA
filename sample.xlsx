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park580\Desktop\"/>
    </mc:Choice>
  </mc:AlternateContent>
  <xr:revisionPtr revIDLastSave="0" documentId="8_{469B1963-3684-40FF-806C-06D3276DD7E3}" xr6:coauthVersionLast="47" xr6:coauthVersionMax="47" xr10:uidLastSave="{00000000-0000-0000-0000-000000000000}"/>
  <bookViews>
    <workbookView xWindow="-108" yWindow="-108" windowWidth="23256" windowHeight="13896" xr2:uid="{AC2DCC80-15EE-4754-B9D9-F8B7F982F713}"/>
  </bookViews>
  <sheets>
    <sheet name="변동성(2025-12-31)" sheetId="1" r:id="rId1"/>
  </sheets>
  <definedNames>
    <definedName name="AuraStyleDefaultsReset" hidden="1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187" i="1" l="1"/>
  <c r="BH187" i="1"/>
  <c r="AZ187" i="1"/>
  <c r="AY187" i="1"/>
  <c r="AQ187" i="1"/>
  <c r="AP187" i="1"/>
  <c r="AH187" i="1"/>
  <c r="AG187" i="1"/>
  <c r="Y187" i="1"/>
  <c r="X187" i="1"/>
  <c r="P187" i="1"/>
  <c r="O187" i="1"/>
  <c r="G187" i="1"/>
  <c r="F187" i="1"/>
  <c r="BI186" i="1"/>
  <c r="BH186" i="1"/>
  <c r="AZ186" i="1"/>
  <c r="AY186" i="1"/>
  <c r="AQ186" i="1"/>
  <c r="AP186" i="1"/>
  <c r="AH186" i="1"/>
  <c r="AG186" i="1"/>
  <c r="Y186" i="1"/>
  <c r="X186" i="1"/>
  <c r="P186" i="1"/>
  <c r="O186" i="1"/>
  <c r="G186" i="1"/>
  <c r="F186" i="1"/>
  <c r="BI185" i="1"/>
  <c r="BH185" i="1"/>
  <c r="AZ185" i="1"/>
  <c r="AY185" i="1"/>
  <c r="AQ185" i="1"/>
  <c r="AP185" i="1"/>
  <c r="AH185" i="1"/>
  <c r="AG185" i="1"/>
  <c r="Y185" i="1"/>
  <c r="X185" i="1"/>
  <c r="P185" i="1"/>
  <c r="O185" i="1"/>
  <c r="G185" i="1"/>
  <c r="F185" i="1"/>
  <c r="BI184" i="1"/>
  <c r="BH184" i="1"/>
  <c r="AZ184" i="1"/>
  <c r="AY184" i="1"/>
  <c r="AQ184" i="1"/>
  <c r="AP184" i="1"/>
  <c r="AH184" i="1"/>
  <c r="AG184" i="1"/>
  <c r="Y184" i="1"/>
  <c r="X184" i="1"/>
  <c r="P184" i="1"/>
  <c r="O184" i="1"/>
  <c r="G184" i="1"/>
  <c r="F184" i="1"/>
  <c r="BI183" i="1"/>
  <c r="BH183" i="1"/>
  <c r="AZ183" i="1"/>
  <c r="AY183" i="1"/>
  <c r="AQ183" i="1"/>
  <c r="AP183" i="1"/>
  <c r="AH183" i="1"/>
  <c r="AG183" i="1"/>
  <c r="Y183" i="1"/>
  <c r="X183" i="1"/>
  <c r="P183" i="1"/>
  <c r="O183" i="1"/>
  <c r="G183" i="1"/>
  <c r="F183" i="1"/>
  <c r="BI182" i="1"/>
  <c r="BH182" i="1"/>
  <c r="AZ182" i="1"/>
  <c r="AY182" i="1"/>
  <c r="AQ182" i="1"/>
  <c r="AP182" i="1"/>
  <c r="AH182" i="1"/>
  <c r="AG182" i="1"/>
  <c r="Y182" i="1"/>
  <c r="X182" i="1"/>
  <c r="P182" i="1"/>
  <c r="O182" i="1"/>
  <c r="G182" i="1"/>
  <c r="F182" i="1"/>
  <c r="BI181" i="1"/>
  <c r="BH181" i="1"/>
  <c r="AZ181" i="1"/>
  <c r="AY181" i="1"/>
  <c r="AQ181" i="1"/>
  <c r="AP181" i="1"/>
  <c r="AH181" i="1"/>
  <c r="AG181" i="1"/>
  <c r="Y181" i="1"/>
  <c r="X181" i="1"/>
  <c r="P181" i="1"/>
  <c r="O181" i="1"/>
  <c r="G181" i="1"/>
  <c r="F181" i="1"/>
  <c r="BI180" i="1"/>
  <c r="BH180" i="1"/>
  <c r="AZ180" i="1"/>
  <c r="AY180" i="1"/>
  <c r="AQ180" i="1"/>
  <c r="AP180" i="1"/>
  <c r="AH180" i="1"/>
  <c r="AG180" i="1"/>
  <c r="Y180" i="1"/>
  <c r="X180" i="1"/>
  <c r="P180" i="1"/>
  <c r="O180" i="1"/>
  <c r="G180" i="1"/>
  <c r="F180" i="1"/>
  <c r="BI179" i="1"/>
  <c r="BH179" i="1"/>
  <c r="AZ179" i="1"/>
  <c r="AY179" i="1"/>
  <c r="AQ179" i="1"/>
  <c r="AP179" i="1"/>
  <c r="AH179" i="1"/>
  <c r="AG179" i="1"/>
  <c r="Y179" i="1"/>
  <c r="X179" i="1"/>
  <c r="P179" i="1"/>
  <c r="O179" i="1"/>
  <c r="G179" i="1"/>
  <c r="F179" i="1"/>
  <c r="BI178" i="1"/>
  <c r="BH178" i="1"/>
  <c r="AZ178" i="1"/>
  <c r="AY178" i="1"/>
  <c r="AQ178" i="1"/>
  <c r="AP178" i="1"/>
  <c r="AH178" i="1"/>
  <c r="AG178" i="1"/>
  <c r="Y178" i="1"/>
  <c r="X178" i="1"/>
  <c r="P178" i="1"/>
  <c r="O178" i="1"/>
  <c r="G178" i="1"/>
  <c r="F178" i="1"/>
  <c r="BI177" i="1"/>
  <c r="BH177" i="1"/>
  <c r="AZ177" i="1"/>
  <c r="AY177" i="1"/>
  <c r="AQ177" i="1"/>
  <c r="AP177" i="1"/>
  <c r="AH177" i="1"/>
  <c r="AG177" i="1"/>
  <c r="Y177" i="1"/>
  <c r="X177" i="1"/>
  <c r="P177" i="1"/>
  <c r="O177" i="1"/>
  <c r="G177" i="1"/>
  <c r="F177" i="1"/>
  <c r="BI176" i="1"/>
  <c r="BH176" i="1"/>
  <c r="AZ176" i="1"/>
  <c r="AY176" i="1"/>
  <c r="AQ176" i="1"/>
  <c r="AP176" i="1"/>
  <c r="AH176" i="1"/>
  <c r="AG176" i="1"/>
  <c r="Y176" i="1"/>
  <c r="X176" i="1"/>
  <c r="P176" i="1"/>
  <c r="O176" i="1"/>
  <c r="G176" i="1"/>
  <c r="F176" i="1"/>
  <c r="BI175" i="1"/>
  <c r="BH175" i="1"/>
  <c r="AZ175" i="1"/>
  <c r="AY175" i="1"/>
  <c r="AQ175" i="1"/>
  <c r="AP175" i="1"/>
  <c r="AH175" i="1"/>
  <c r="AG175" i="1"/>
  <c r="Y175" i="1"/>
  <c r="X175" i="1"/>
  <c r="P175" i="1"/>
  <c r="O175" i="1"/>
  <c r="G175" i="1"/>
  <c r="F175" i="1"/>
  <c r="BI174" i="1"/>
  <c r="BH174" i="1"/>
  <c r="AZ174" i="1"/>
  <c r="AY174" i="1"/>
  <c r="AQ174" i="1"/>
  <c r="AP174" i="1"/>
  <c r="AH174" i="1"/>
  <c r="AG174" i="1"/>
  <c r="Y174" i="1"/>
  <c r="X174" i="1"/>
  <c r="P174" i="1"/>
  <c r="O174" i="1"/>
  <c r="G174" i="1"/>
  <c r="F174" i="1"/>
  <c r="BI173" i="1"/>
  <c r="BH173" i="1"/>
  <c r="AZ173" i="1"/>
  <c r="AY173" i="1"/>
  <c r="AQ173" i="1"/>
  <c r="AP173" i="1"/>
  <c r="AH173" i="1"/>
  <c r="AG173" i="1"/>
  <c r="Y173" i="1"/>
  <c r="X173" i="1"/>
  <c r="P173" i="1"/>
  <c r="O173" i="1"/>
  <c r="G173" i="1"/>
  <c r="F173" i="1"/>
  <c r="BI172" i="1"/>
  <c r="BH172" i="1"/>
  <c r="AZ172" i="1"/>
  <c r="AY172" i="1"/>
  <c r="AQ172" i="1"/>
  <c r="AP172" i="1"/>
  <c r="AH172" i="1"/>
  <c r="AG172" i="1"/>
  <c r="Y172" i="1"/>
  <c r="X172" i="1"/>
  <c r="P172" i="1"/>
  <c r="O172" i="1"/>
  <c r="G172" i="1"/>
  <c r="F172" i="1"/>
  <c r="BI171" i="1"/>
  <c r="BH171" i="1"/>
  <c r="AZ171" i="1"/>
  <c r="AY171" i="1"/>
  <c r="AQ171" i="1"/>
  <c r="AP171" i="1"/>
  <c r="AH171" i="1"/>
  <c r="AG171" i="1"/>
  <c r="Y171" i="1"/>
  <c r="X171" i="1"/>
  <c r="P171" i="1"/>
  <c r="O171" i="1"/>
  <c r="G171" i="1"/>
  <c r="F171" i="1"/>
  <c r="BI170" i="1"/>
  <c r="BH170" i="1"/>
  <c r="AZ170" i="1"/>
  <c r="AY170" i="1"/>
  <c r="AQ170" i="1"/>
  <c r="AP170" i="1"/>
  <c r="AH170" i="1"/>
  <c r="AG170" i="1"/>
  <c r="Y170" i="1"/>
  <c r="X170" i="1"/>
  <c r="P170" i="1"/>
  <c r="O170" i="1"/>
  <c r="G170" i="1"/>
  <c r="F170" i="1"/>
  <c r="BI169" i="1"/>
  <c r="BH169" i="1"/>
  <c r="AZ169" i="1"/>
  <c r="AY169" i="1"/>
  <c r="AQ169" i="1"/>
  <c r="AP169" i="1"/>
  <c r="AH169" i="1"/>
  <c r="AG169" i="1"/>
  <c r="Y169" i="1"/>
  <c r="X169" i="1"/>
  <c r="P169" i="1"/>
  <c r="O169" i="1"/>
  <c r="G169" i="1"/>
  <c r="F169" i="1"/>
  <c r="BI168" i="1"/>
  <c r="BH168" i="1"/>
  <c r="AZ168" i="1"/>
  <c r="AY168" i="1"/>
  <c r="AQ168" i="1"/>
  <c r="AP168" i="1"/>
  <c r="AH168" i="1"/>
  <c r="AG168" i="1"/>
  <c r="Y168" i="1"/>
  <c r="X168" i="1"/>
  <c r="P168" i="1"/>
  <c r="O168" i="1"/>
  <c r="G168" i="1"/>
  <c r="F168" i="1"/>
  <c r="BI167" i="1"/>
  <c r="BH167" i="1"/>
  <c r="AZ167" i="1"/>
  <c r="AY167" i="1"/>
  <c r="AQ167" i="1"/>
  <c r="AP167" i="1"/>
  <c r="AH167" i="1"/>
  <c r="AG167" i="1"/>
  <c r="Y167" i="1"/>
  <c r="X167" i="1"/>
  <c r="P167" i="1"/>
  <c r="O167" i="1"/>
  <c r="G167" i="1"/>
  <c r="F167" i="1"/>
  <c r="BI166" i="1"/>
  <c r="BH166" i="1"/>
  <c r="AZ166" i="1"/>
  <c r="AY166" i="1"/>
  <c r="AQ166" i="1"/>
  <c r="AP166" i="1"/>
  <c r="AH166" i="1"/>
  <c r="AG166" i="1"/>
  <c r="Y166" i="1"/>
  <c r="X166" i="1"/>
  <c r="P166" i="1"/>
  <c r="O166" i="1"/>
  <c r="G166" i="1"/>
  <c r="F166" i="1"/>
  <c r="BI165" i="1"/>
  <c r="BH165" i="1"/>
  <c r="AZ165" i="1"/>
  <c r="AY165" i="1"/>
  <c r="AQ165" i="1"/>
  <c r="AP165" i="1"/>
  <c r="AH165" i="1"/>
  <c r="AG165" i="1"/>
  <c r="Y165" i="1"/>
  <c r="X165" i="1"/>
  <c r="P165" i="1"/>
  <c r="O165" i="1"/>
  <c r="G165" i="1"/>
  <c r="F165" i="1"/>
  <c r="BI164" i="1"/>
  <c r="BH164" i="1"/>
  <c r="AZ164" i="1"/>
  <c r="AY164" i="1"/>
  <c r="AQ164" i="1"/>
  <c r="AP164" i="1"/>
  <c r="AH164" i="1"/>
  <c r="AG164" i="1"/>
  <c r="Y164" i="1"/>
  <c r="X164" i="1"/>
  <c r="P164" i="1"/>
  <c r="O164" i="1"/>
  <c r="G164" i="1"/>
  <c r="F164" i="1"/>
  <c r="BI163" i="1"/>
  <c r="BH163" i="1"/>
  <c r="AZ163" i="1"/>
  <c r="AY163" i="1"/>
  <c r="AQ163" i="1"/>
  <c r="AP163" i="1"/>
  <c r="AH163" i="1"/>
  <c r="AG163" i="1"/>
  <c r="Y163" i="1"/>
  <c r="X163" i="1"/>
  <c r="P163" i="1"/>
  <c r="O163" i="1"/>
  <c r="G163" i="1"/>
  <c r="F163" i="1"/>
  <c r="BI162" i="1"/>
  <c r="BH162" i="1"/>
  <c r="AZ162" i="1"/>
  <c r="AY162" i="1"/>
  <c r="AQ162" i="1"/>
  <c r="AP162" i="1"/>
  <c r="AH162" i="1"/>
  <c r="AG162" i="1"/>
  <c r="Y162" i="1"/>
  <c r="X162" i="1"/>
  <c r="P162" i="1"/>
  <c r="O162" i="1"/>
  <c r="G162" i="1"/>
  <c r="F162" i="1"/>
  <c r="BI161" i="1"/>
  <c r="BH161" i="1"/>
  <c r="AZ161" i="1"/>
  <c r="AY161" i="1"/>
  <c r="AQ161" i="1"/>
  <c r="AP161" i="1"/>
  <c r="AH161" i="1"/>
  <c r="AG161" i="1"/>
  <c r="Y161" i="1"/>
  <c r="X161" i="1"/>
  <c r="P161" i="1"/>
  <c r="O161" i="1"/>
  <c r="G161" i="1"/>
  <c r="F161" i="1"/>
  <c r="BI160" i="1"/>
  <c r="BH160" i="1"/>
  <c r="AZ160" i="1"/>
  <c r="AY160" i="1"/>
  <c r="AQ160" i="1"/>
  <c r="AP160" i="1"/>
  <c r="AH160" i="1"/>
  <c r="AG160" i="1"/>
  <c r="Y160" i="1"/>
  <c r="X160" i="1"/>
  <c r="P160" i="1"/>
  <c r="O160" i="1"/>
  <c r="G160" i="1"/>
  <c r="F160" i="1"/>
  <c r="BI159" i="1"/>
  <c r="BH159" i="1"/>
  <c r="AZ159" i="1"/>
  <c r="AY159" i="1"/>
  <c r="AQ159" i="1"/>
  <c r="AP159" i="1"/>
  <c r="AH159" i="1"/>
  <c r="AG159" i="1"/>
  <c r="Y159" i="1"/>
  <c r="X159" i="1"/>
  <c r="P159" i="1"/>
  <c r="O159" i="1"/>
  <c r="G159" i="1"/>
  <c r="F159" i="1"/>
  <c r="BI158" i="1"/>
  <c r="BH158" i="1"/>
  <c r="AZ158" i="1"/>
  <c r="AY158" i="1"/>
  <c r="AQ158" i="1"/>
  <c r="AP158" i="1"/>
  <c r="AH158" i="1"/>
  <c r="AG158" i="1"/>
  <c r="Y158" i="1"/>
  <c r="X158" i="1"/>
  <c r="P158" i="1"/>
  <c r="O158" i="1"/>
  <c r="G158" i="1"/>
  <c r="F158" i="1"/>
  <c r="BI157" i="1"/>
  <c r="BH157" i="1"/>
  <c r="AZ157" i="1"/>
  <c r="AY157" i="1"/>
  <c r="AQ157" i="1"/>
  <c r="AP157" i="1"/>
  <c r="AH157" i="1"/>
  <c r="AG157" i="1"/>
  <c r="Y157" i="1"/>
  <c r="X157" i="1"/>
  <c r="P157" i="1"/>
  <c r="O157" i="1"/>
  <c r="G157" i="1"/>
  <c r="F157" i="1"/>
  <c r="BI156" i="1"/>
  <c r="BH156" i="1"/>
  <c r="AZ156" i="1"/>
  <c r="AY156" i="1"/>
  <c r="AQ156" i="1"/>
  <c r="AP156" i="1"/>
  <c r="AH156" i="1"/>
  <c r="AG156" i="1"/>
  <c r="Y156" i="1"/>
  <c r="X156" i="1"/>
  <c r="P156" i="1"/>
  <c r="O156" i="1"/>
  <c r="G156" i="1"/>
  <c r="F156" i="1"/>
  <c r="BI155" i="1"/>
  <c r="BH155" i="1"/>
  <c r="AZ155" i="1"/>
  <c r="AY155" i="1"/>
  <c r="AQ155" i="1"/>
  <c r="AP155" i="1"/>
  <c r="AH155" i="1"/>
  <c r="AG155" i="1"/>
  <c r="Y155" i="1"/>
  <c r="X155" i="1"/>
  <c r="P155" i="1"/>
  <c r="O155" i="1"/>
  <c r="G155" i="1"/>
  <c r="F155" i="1"/>
  <c r="BI154" i="1"/>
  <c r="BH154" i="1"/>
  <c r="AZ154" i="1"/>
  <c r="AY154" i="1"/>
  <c r="AQ154" i="1"/>
  <c r="AP154" i="1"/>
  <c r="AH154" i="1"/>
  <c r="AG154" i="1"/>
  <c r="Y154" i="1"/>
  <c r="X154" i="1"/>
  <c r="P154" i="1"/>
  <c r="O154" i="1"/>
  <c r="G154" i="1"/>
  <c r="F154" i="1"/>
  <c r="BI153" i="1"/>
  <c r="BH153" i="1"/>
  <c r="AZ153" i="1"/>
  <c r="AY153" i="1"/>
  <c r="AQ153" i="1"/>
  <c r="AP153" i="1"/>
  <c r="AH153" i="1"/>
  <c r="AG153" i="1"/>
  <c r="Y153" i="1"/>
  <c r="X153" i="1"/>
  <c r="P153" i="1"/>
  <c r="O153" i="1"/>
  <c r="G153" i="1"/>
  <c r="F153" i="1"/>
  <c r="BI152" i="1"/>
  <c r="BH152" i="1"/>
  <c r="AZ152" i="1"/>
  <c r="AY152" i="1"/>
  <c r="AQ152" i="1"/>
  <c r="AP152" i="1"/>
  <c r="AH152" i="1"/>
  <c r="AG152" i="1"/>
  <c r="Y152" i="1"/>
  <c r="X152" i="1"/>
  <c r="P152" i="1"/>
  <c r="O152" i="1"/>
  <c r="G152" i="1"/>
  <c r="F152" i="1"/>
  <c r="BI151" i="1"/>
  <c r="BH151" i="1"/>
  <c r="AZ151" i="1"/>
  <c r="AY151" i="1"/>
  <c r="AQ151" i="1"/>
  <c r="AP151" i="1"/>
  <c r="AH151" i="1"/>
  <c r="AG151" i="1"/>
  <c r="Y151" i="1"/>
  <c r="X151" i="1"/>
  <c r="P151" i="1"/>
  <c r="O151" i="1"/>
  <c r="G151" i="1"/>
  <c r="F151" i="1"/>
  <c r="BI150" i="1"/>
  <c r="BH150" i="1"/>
  <c r="AZ150" i="1"/>
  <c r="AY150" i="1"/>
  <c r="AQ150" i="1"/>
  <c r="AP150" i="1"/>
  <c r="AH150" i="1"/>
  <c r="AG150" i="1"/>
  <c r="Y150" i="1"/>
  <c r="X150" i="1"/>
  <c r="P150" i="1"/>
  <c r="O150" i="1"/>
  <c r="G150" i="1"/>
  <c r="F150" i="1"/>
  <c r="BI149" i="1"/>
  <c r="BH149" i="1"/>
  <c r="AZ149" i="1"/>
  <c r="AY149" i="1"/>
  <c r="AQ149" i="1"/>
  <c r="AP149" i="1"/>
  <c r="AH149" i="1"/>
  <c r="AG149" i="1"/>
  <c r="Y149" i="1"/>
  <c r="X149" i="1"/>
  <c r="P149" i="1"/>
  <c r="O149" i="1"/>
  <c r="G149" i="1"/>
  <c r="F149" i="1"/>
  <c r="BI148" i="1"/>
  <c r="BH148" i="1"/>
  <c r="AZ148" i="1"/>
  <c r="AY148" i="1"/>
  <c r="AQ148" i="1"/>
  <c r="AP148" i="1"/>
  <c r="AH148" i="1"/>
  <c r="AG148" i="1"/>
  <c r="Y148" i="1"/>
  <c r="X148" i="1"/>
  <c r="P148" i="1"/>
  <c r="O148" i="1"/>
  <c r="G148" i="1"/>
  <c r="F148" i="1"/>
  <c r="BI147" i="1"/>
  <c r="BH147" i="1"/>
  <c r="AZ147" i="1"/>
  <c r="AY147" i="1"/>
  <c r="AQ147" i="1"/>
  <c r="AP147" i="1"/>
  <c r="AH147" i="1"/>
  <c r="AG147" i="1"/>
  <c r="Y147" i="1"/>
  <c r="X147" i="1"/>
  <c r="P147" i="1"/>
  <c r="O147" i="1"/>
  <c r="G147" i="1"/>
  <c r="F147" i="1"/>
  <c r="BI146" i="1"/>
  <c r="BH146" i="1"/>
  <c r="AZ146" i="1"/>
  <c r="AY146" i="1"/>
  <c r="AQ146" i="1"/>
  <c r="AP146" i="1"/>
  <c r="AH146" i="1"/>
  <c r="AG146" i="1"/>
  <c r="Y146" i="1"/>
  <c r="X146" i="1"/>
  <c r="P146" i="1"/>
  <c r="O146" i="1"/>
  <c r="G146" i="1"/>
  <c r="F146" i="1"/>
  <c r="BI145" i="1"/>
  <c r="BH145" i="1"/>
  <c r="AZ145" i="1"/>
  <c r="AY145" i="1"/>
  <c r="AQ145" i="1"/>
  <c r="AP145" i="1"/>
  <c r="AH145" i="1"/>
  <c r="AG145" i="1"/>
  <c r="Y145" i="1"/>
  <c r="X145" i="1"/>
  <c r="P145" i="1"/>
  <c r="O145" i="1"/>
  <c r="G145" i="1"/>
  <c r="F145" i="1"/>
  <c r="BI144" i="1"/>
  <c r="BH144" i="1"/>
  <c r="AZ144" i="1"/>
  <c r="AY144" i="1"/>
  <c r="AQ144" i="1"/>
  <c r="AP144" i="1"/>
  <c r="AH144" i="1"/>
  <c r="AG144" i="1"/>
  <c r="Y144" i="1"/>
  <c r="X144" i="1"/>
  <c r="P144" i="1"/>
  <c r="O144" i="1"/>
  <c r="G144" i="1"/>
  <c r="F144" i="1"/>
  <c r="BI143" i="1"/>
  <c r="BH143" i="1"/>
  <c r="AZ143" i="1"/>
  <c r="AY143" i="1"/>
  <c r="AQ143" i="1"/>
  <c r="AP143" i="1"/>
  <c r="AH143" i="1"/>
  <c r="AG143" i="1"/>
  <c r="Y143" i="1"/>
  <c r="X143" i="1"/>
  <c r="P143" i="1"/>
  <c r="O143" i="1"/>
  <c r="G143" i="1"/>
  <c r="F143" i="1"/>
  <c r="BI142" i="1"/>
  <c r="BH142" i="1"/>
  <c r="AZ142" i="1"/>
  <c r="AY142" i="1"/>
  <c r="AQ142" i="1"/>
  <c r="AP142" i="1"/>
  <c r="AH142" i="1"/>
  <c r="AG142" i="1"/>
  <c r="Y142" i="1"/>
  <c r="X142" i="1"/>
  <c r="P142" i="1"/>
  <c r="O142" i="1"/>
  <c r="G142" i="1"/>
  <c r="F142" i="1"/>
  <c r="BI141" i="1"/>
  <c r="BH141" i="1"/>
  <c r="AZ141" i="1"/>
  <c r="AY141" i="1"/>
  <c r="AQ141" i="1"/>
  <c r="AP141" i="1"/>
  <c r="AH141" i="1"/>
  <c r="AG141" i="1"/>
  <c r="Y141" i="1"/>
  <c r="X141" i="1"/>
  <c r="P141" i="1"/>
  <c r="O141" i="1"/>
  <c r="G141" i="1"/>
  <c r="F141" i="1"/>
  <c r="BI140" i="1"/>
  <c r="BH140" i="1"/>
  <c r="AZ140" i="1"/>
  <c r="AY140" i="1"/>
  <c r="AQ140" i="1"/>
  <c r="AP140" i="1"/>
  <c r="AH140" i="1"/>
  <c r="AG140" i="1"/>
  <c r="Y140" i="1"/>
  <c r="X140" i="1"/>
  <c r="P140" i="1"/>
  <c r="O140" i="1"/>
  <c r="G140" i="1"/>
  <c r="F140" i="1"/>
  <c r="BI139" i="1"/>
  <c r="BH139" i="1"/>
  <c r="AZ139" i="1"/>
  <c r="AY139" i="1"/>
  <c r="AQ139" i="1"/>
  <c r="AP139" i="1"/>
  <c r="AH139" i="1"/>
  <c r="AG139" i="1"/>
  <c r="Y139" i="1"/>
  <c r="X139" i="1"/>
  <c r="P139" i="1"/>
  <c r="O139" i="1"/>
  <c r="G139" i="1"/>
  <c r="F139" i="1"/>
  <c r="BI138" i="1"/>
  <c r="BH138" i="1"/>
  <c r="AZ138" i="1"/>
  <c r="AY138" i="1"/>
  <c r="AQ138" i="1"/>
  <c r="AP138" i="1"/>
  <c r="AH138" i="1"/>
  <c r="AG138" i="1"/>
  <c r="Y138" i="1"/>
  <c r="X138" i="1"/>
  <c r="P138" i="1"/>
  <c r="O138" i="1"/>
  <c r="G138" i="1"/>
  <c r="F138" i="1"/>
  <c r="BI137" i="1"/>
  <c r="BH137" i="1"/>
  <c r="AZ137" i="1"/>
  <c r="AY137" i="1"/>
  <c r="AQ137" i="1"/>
  <c r="AP137" i="1"/>
  <c r="AH137" i="1"/>
  <c r="AG137" i="1"/>
  <c r="Y137" i="1"/>
  <c r="X137" i="1"/>
  <c r="P137" i="1"/>
  <c r="O137" i="1"/>
  <c r="G137" i="1"/>
  <c r="F137" i="1"/>
  <c r="BI136" i="1"/>
  <c r="BH136" i="1"/>
  <c r="AZ136" i="1"/>
  <c r="AY136" i="1"/>
  <c r="AQ136" i="1"/>
  <c r="AP136" i="1"/>
  <c r="AH136" i="1"/>
  <c r="AG136" i="1"/>
  <c r="Y136" i="1"/>
  <c r="X136" i="1"/>
  <c r="P136" i="1"/>
  <c r="O136" i="1"/>
  <c r="G136" i="1"/>
  <c r="F136" i="1"/>
  <c r="BI135" i="1"/>
  <c r="BH135" i="1"/>
  <c r="AZ135" i="1"/>
  <c r="AY135" i="1"/>
  <c r="AQ135" i="1"/>
  <c r="AP135" i="1"/>
  <c r="AH135" i="1"/>
  <c r="AG135" i="1"/>
  <c r="Y135" i="1"/>
  <c r="X135" i="1"/>
  <c r="P135" i="1"/>
  <c r="O135" i="1"/>
  <c r="G135" i="1"/>
  <c r="F135" i="1"/>
  <c r="BI134" i="1"/>
  <c r="BH134" i="1"/>
  <c r="AZ134" i="1"/>
  <c r="AY134" i="1"/>
  <c r="AQ134" i="1"/>
  <c r="AP134" i="1"/>
  <c r="AH134" i="1"/>
  <c r="AG134" i="1"/>
  <c r="Y134" i="1"/>
  <c r="X134" i="1"/>
  <c r="P134" i="1"/>
  <c r="O134" i="1"/>
  <c r="G134" i="1"/>
  <c r="F134" i="1"/>
  <c r="BI133" i="1"/>
  <c r="BH133" i="1"/>
  <c r="AZ133" i="1"/>
  <c r="AY133" i="1"/>
  <c r="AQ133" i="1"/>
  <c r="AP133" i="1"/>
  <c r="AH133" i="1"/>
  <c r="AG133" i="1"/>
  <c r="Y133" i="1"/>
  <c r="X133" i="1"/>
  <c r="P133" i="1"/>
  <c r="O133" i="1"/>
  <c r="G133" i="1"/>
  <c r="F133" i="1"/>
  <c r="BI132" i="1"/>
  <c r="BH132" i="1"/>
  <c r="AZ132" i="1"/>
  <c r="AY132" i="1"/>
  <c r="AQ132" i="1"/>
  <c r="AP132" i="1"/>
  <c r="AH132" i="1"/>
  <c r="AG132" i="1"/>
  <c r="Y132" i="1"/>
  <c r="X132" i="1"/>
  <c r="P132" i="1"/>
  <c r="O132" i="1"/>
  <c r="G132" i="1"/>
  <c r="F132" i="1"/>
  <c r="BI131" i="1"/>
  <c r="BH131" i="1"/>
  <c r="AZ131" i="1"/>
  <c r="AY131" i="1"/>
  <c r="AQ131" i="1"/>
  <c r="AP131" i="1"/>
  <c r="AH131" i="1"/>
  <c r="AG131" i="1"/>
  <c r="Y131" i="1"/>
  <c r="X131" i="1"/>
  <c r="P131" i="1"/>
  <c r="O131" i="1"/>
  <c r="G131" i="1"/>
  <c r="F131" i="1"/>
  <c r="BI130" i="1"/>
  <c r="BH130" i="1"/>
  <c r="AZ130" i="1"/>
  <c r="AY130" i="1"/>
  <c r="AQ130" i="1"/>
  <c r="AP130" i="1"/>
  <c r="AH130" i="1"/>
  <c r="AG130" i="1"/>
  <c r="Y130" i="1"/>
  <c r="X130" i="1"/>
  <c r="P130" i="1"/>
  <c r="O130" i="1"/>
  <c r="G130" i="1"/>
  <c r="F130" i="1"/>
  <c r="BI129" i="1"/>
  <c r="BH129" i="1"/>
  <c r="AZ129" i="1"/>
  <c r="AY129" i="1"/>
  <c r="AQ129" i="1"/>
  <c r="AP129" i="1"/>
  <c r="AH129" i="1"/>
  <c r="AG129" i="1"/>
  <c r="Y129" i="1"/>
  <c r="X129" i="1"/>
  <c r="P129" i="1"/>
  <c r="O129" i="1"/>
  <c r="G129" i="1"/>
  <c r="F129" i="1"/>
  <c r="BI128" i="1"/>
  <c r="BH128" i="1"/>
  <c r="AZ128" i="1"/>
  <c r="AY128" i="1"/>
  <c r="AQ128" i="1"/>
  <c r="AP128" i="1"/>
  <c r="AH128" i="1"/>
  <c r="AG128" i="1"/>
  <c r="Y128" i="1"/>
  <c r="X128" i="1"/>
  <c r="P128" i="1"/>
  <c r="O128" i="1"/>
  <c r="G128" i="1"/>
  <c r="F128" i="1"/>
  <c r="BI127" i="1"/>
  <c r="BH127" i="1"/>
  <c r="AZ127" i="1"/>
  <c r="AY127" i="1"/>
  <c r="AQ127" i="1"/>
  <c r="AP127" i="1"/>
  <c r="AH127" i="1"/>
  <c r="AG127" i="1"/>
  <c r="Y127" i="1"/>
  <c r="X127" i="1"/>
  <c r="P127" i="1"/>
  <c r="O127" i="1"/>
  <c r="G127" i="1"/>
  <c r="F127" i="1"/>
  <c r="BI126" i="1"/>
  <c r="BH126" i="1"/>
  <c r="AZ126" i="1"/>
  <c r="AY126" i="1"/>
  <c r="AQ126" i="1"/>
  <c r="AP126" i="1"/>
  <c r="AH126" i="1"/>
  <c r="AG126" i="1"/>
  <c r="Y126" i="1"/>
  <c r="X126" i="1"/>
  <c r="P126" i="1"/>
  <c r="O126" i="1"/>
  <c r="G126" i="1"/>
  <c r="F126" i="1"/>
  <c r="BI125" i="1"/>
  <c r="BH125" i="1"/>
  <c r="AZ125" i="1"/>
  <c r="AY125" i="1"/>
  <c r="AQ125" i="1"/>
  <c r="AP125" i="1"/>
  <c r="AH125" i="1"/>
  <c r="AG125" i="1"/>
  <c r="Y125" i="1"/>
  <c r="X125" i="1"/>
  <c r="P125" i="1"/>
  <c r="O125" i="1"/>
  <c r="G125" i="1"/>
  <c r="F125" i="1"/>
  <c r="BI124" i="1"/>
  <c r="BH124" i="1"/>
  <c r="AZ124" i="1"/>
  <c r="AY124" i="1"/>
  <c r="AQ124" i="1"/>
  <c r="AP124" i="1"/>
  <c r="AH124" i="1"/>
  <c r="AG124" i="1"/>
  <c r="Y124" i="1"/>
  <c r="X124" i="1"/>
  <c r="P124" i="1"/>
  <c r="O124" i="1"/>
  <c r="G124" i="1"/>
  <c r="F124" i="1"/>
  <c r="BI123" i="1"/>
  <c r="BH123" i="1"/>
  <c r="AZ123" i="1"/>
  <c r="AY123" i="1"/>
  <c r="AQ123" i="1"/>
  <c r="AP123" i="1"/>
  <c r="AH123" i="1"/>
  <c r="AG123" i="1"/>
  <c r="Y123" i="1"/>
  <c r="X123" i="1"/>
  <c r="P123" i="1"/>
  <c r="O123" i="1"/>
  <c r="G123" i="1"/>
  <c r="F123" i="1"/>
  <c r="BI122" i="1"/>
  <c r="BH122" i="1"/>
  <c r="AZ122" i="1"/>
  <c r="AY122" i="1"/>
  <c r="AQ122" i="1"/>
  <c r="AP122" i="1"/>
  <c r="AH122" i="1"/>
  <c r="AG122" i="1"/>
  <c r="Y122" i="1"/>
  <c r="X122" i="1"/>
  <c r="P122" i="1"/>
  <c r="O122" i="1"/>
  <c r="G122" i="1"/>
  <c r="F122" i="1"/>
  <c r="BI121" i="1"/>
  <c r="BH121" i="1"/>
  <c r="AZ121" i="1"/>
  <c r="AY121" i="1"/>
  <c r="AQ121" i="1"/>
  <c r="AP121" i="1"/>
  <c r="AH121" i="1"/>
  <c r="AG121" i="1"/>
  <c r="Y121" i="1"/>
  <c r="X121" i="1"/>
  <c r="P121" i="1"/>
  <c r="O121" i="1"/>
  <c r="G121" i="1"/>
  <c r="F121" i="1"/>
  <c r="BI120" i="1"/>
  <c r="BH120" i="1"/>
  <c r="AZ120" i="1"/>
  <c r="AY120" i="1"/>
  <c r="AQ120" i="1"/>
  <c r="AP120" i="1"/>
  <c r="AH120" i="1"/>
  <c r="AG120" i="1"/>
  <c r="Y120" i="1"/>
  <c r="X120" i="1"/>
  <c r="P120" i="1"/>
  <c r="O120" i="1"/>
  <c r="G120" i="1"/>
  <c r="F120" i="1"/>
  <c r="BI119" i="1"/>
  <c r="BH119" i="1"/>
  <c r="AZ119" i="1"/>
  <c r="AY119" i="1"/>
  <c r="AQ119" i="1"/>
  <c r="AP119" i="1"/>
  <c r="AH119" i="1"/>
  <c r="AG119" i="1"/>
  <c r="Y119" i="1"/>
  <c r="X119" i="1"/>
  <c r="P119" i="1"/>
  <c r="O119" i="1"/>
  <c r="G119" i="1"/>
  <c r="F119" i="1"/>
  <c r="BI118" i="1"/>
  <c r="BH118" i="1"/>
  <c r="AZ118" i="1"/>
  <c r="AY118" i="1"/>
  <c r="AQ118" i="1"/>
  <c r="AP118" i="1"/>
  <c r="AH118" i="1"/>
  <c r="AG118" i="1"/>
  <c r="Y118" i="1"/>
  <c r="X118" i="1"/>
  <c r="P118" i="1"/>
  <c r="O118" i="1"/>
  <c r="G118" i="1"/>
  <c r="F118" i="1"/>
  <c r="BI117" i="1"/>
  <c r="BH117" i="1"/>
  <c r="AZ117" i="1"/>
  <c r="AY117" i="1"/>
  <c r="AQ117" i="1"/>
  <c r="AP117" i="1"/>
  <c r="AH117" i="1"/>
  <c r="AG117" i="1"/>
  <c r="Y117" i="1"/>
  <c r="X117" i="1"/>
  <c r="P117" i="1"/>
  <c r="O117" i="1"/>
  <c r="G117" i="1"/>
  <c r="F117" i="1"/>
  <c r="BI116" i="1"/>
  <c r="BH116" i="1"/>
  <c r="AZ116" i="1"/>
  <c r="AY116" i="1"/>
  <c r="AQ116" i="1"/>
  <c r="AP116" i="1"/>
  <c r="AH116" i="1"/>
  <c r="AG116" i="1"/>
  <c r="Y116" i="1"/>
  <c r="X116" i="1"/>
  <c r="P116" i="1"/>
  <c r="O116" i="1"/>
  <c r="G116" i="1"/>
  <c r="F116" i="1"/>
  <c r="BI115" i="1"/>
  <c r="BH115" i="1"/>
  <c r="AZ115" i="1"/>
  <c r="AY115" i="1"/>
  <c r="AQ115" i="1"/>
  <c r="AP115" i="1"/>
  <c r="AH115" i="1"/>
  <c r="AG115" i="1"/>
  <c r="Y115" i="1"/>
  <c r="X115" i="1"/>
  <c r="P115" i="1"/>
  <c r="O115" i="1"/>
  <c r="G115" i="1"/>
  <c r="F115" i="1"/>
  <c r="BI114" i="1"/>
  <c r="BH114" i="1"/>
  <c r="AZ114" i="1"/>
  <c r="AY114" i="1"/>
  <c r="AQ114" i="1"/>
  <c r="AP114" i="1"/>
  <c r="AH114" i="1"/>
  <c r="AG114" i="1"/>
  <c r="Y114" i="1"/>
  <c r="X114" i="1"/>
  <c r="P114" i="1"/>
  <c r="O114" i="1"/>
  <c r="G114" i="1"/>
  <c r="F114" i="1"/>
  <c r="BI113" i="1"/>
  <c r="BH113" i="1"/>
  <c r="AZ113" i="1"/>
  <c r="AY113" i="1"/>
  <c r="AQ113" i="1"/>
  <c r="AP113" i="1"/>
  <c r="AH113" i="1"/>
  <c r="AG113" i="1"/>
  <c r="Y113" i="1"/>
  <c r="X113" i="1"/>
  <c r="P113" i="1"/>
  <c r="O113" i="1"/>
  <c r="G113" i="1"/>
  <c r="F113" i="1"/>
  <c r="BI112" i="1"/>
  <c r="BH112" i="1"/>
  <c r="AZ112" i="1"/>
  <c r="AY112" i="1"/>
  <c r="AQ112" i="1"/>
  <c r="AP112" i="1"/>
  <c r="AH112" i="1"/>
  <c r="AG112" i="1"/>
  <c r="Y112" i="1"/>
  <c r="X112" i="1"/>
  <c r="P112" i="1"/>
  <c r="O112" i="1"/>
  <c r="G112" i="1"/>
  <c r="F112" i="1"/>
  <c r="BI111" i="1"/>
  <c r="BH111" i="1"/>
  <c r="AZ111" i="1"/>
  <c r="AY111" i="1"/>
  <c r="AQ111" i="1"/>
  <c r="AP111" i="1"/>
  <c r="AH111" i="1"/>
  <c r="AG111" i="1"/>
  <c r="Y111" i="1"/>
  <c r="X111" i="1"/>
  <c r="P111" i="1"/>
  <c r="O111" i="1"/>
  <c r="G111" i="1"/>
  <c r="F111" i="1"/>
  <c r="BI110" i="1"/>
  <c r="BH110" i="1"/>
  <c r="AZ110" i="1"/>
  <c r="AY110" i="1"/>
  <c r="AQ110" i="1"/>
  <c r="AP110" i="1"/>
  <c r="AH110" i="1"/>
  <c r="AG110" i="1"/>
  <c r="Y110" i="1"/>
  <c r="X110" i="1"/>
  <c r="P110" i="1"/>
  <c r="O110" i="1"/>
  <c r="G110" i="1"/>
  <c r="F110" i="1"/>
  <c r="BI109" i="1"/>
  <c r="BH109" i="1"/>
  <c r="AZ109" i="1"/>
  <c r="AY109" i="1"/>
  <c r="AQ109" i="1"/>
  <c r="AP109" i="1"/>
  <c r="AH109" i="1"/>
  <c r="AG109" i="1"/>
  <c r="Y109" i="1"/>
  <c r="X109" i="1"/>
  <c r="P109" i="1"/>
  <c r="O109" i="1"/>
  <c r="G109" i="1"/>
  <c r="F109" i="1"/>
  <c r="BI108" i="1"/>
  <c r="BH108" i="1"/>
  <c r="AZ108" i="1"/>
  <c r="AY108" i="1"/>
  <c r="AQ108" i="1"/>
  <c r="AP108" i="1"/>
  <c r="AH108" i="1"/>
  <c r="AG108" i="1"/>
  <c r="Y108" i="1"/>
  <c r="X108" i="1"/>
  <c r="P108" i="1"/>
  <c r="O108" i="1"/>
  <c r="G108" i="1"/>
  <c r="F108" i="1"/>
  <c r="BI107" i="1"/>
  <c r="BH107" i="1"/>
  <c r="AZ107" i="1"/>
  <c r="AY107" i="1"/>
  <c r="AQ107" i="1"/>
  <c r="AP107" i="1"/>
  <c r="AH107" i="1"/>
  <c r="AG107" i="1"/>
  <c r="Y107" i="1"/>
  <c r="X107" i="1"/>
  <c r="P107" i="1"/>
  <c r="O107" i="1"/>
  <c r="G107" i="1"/>
  <c r="F107" i="1"/>
  <c r="BI106" i="1"/>
  <c r="BH106" i="1"/>
  <c r="AZ106" i="1"/>
  <c r="AY106" i="1"/>
  <c r="AQ106" i="1"/>
  <c r="AP106" i="1"/>
  <c r="AH106" i="1"/>
  <c r="AG106" i="1"/>
  <c r="Y106" i="1"/>
  <c r="X106" i="1"/>
  <c r="P106" i="1"/>
  <c r="O106" i="1"/>
  <c r="G106" i="1"/>
  <c r="F106" i="1"/>
  <c r="BI105" i="1"/>
  <c r="BH105" i="1"/>
  <c r="AZ105" i="1"/>
  <c r="AY105" i="1"/>
  <c r="AQ105" i="1"/>
  <c r="AP105" i="1"/>
  <c r="AH105" i="1"/>
  <c r="AG105" i="1"/>
  <c r="Y105" i="1"/>
  <c r="X105" i="1"/>
  <c r="P105" i="1"/>
  <c r="O105" i="1"/>
  <c r="G105" i="1"/>
  <c r="F105" i="1"/>
  <c r="BI104" i="1"/>
  <c r="BH104" i="1"/>
  <c r="AZ104" i="1"/>
  <c r="AY104" i="1"/>
  <c r="AQ104" i="1"/>
  <c r="AP104" i="1"/>
  <c r="AH104" i="1"/>
  <c r="AG104" i="1"/>
  <c r="Y104" i="1"/>
  <c r="X104" i="1"/>
  <c r="P104" i="1"/>
  <c r="O104" i="1"/>
  <c r="G104" i="1"/>
  <c r="F104" i="1"/>
  <c r="BI103" i="1"/>
  <c r="BH103" i="1"/>
  <c r="AZ103" i="1"/>
  <c r="AY103" i="1"/>
  <c r="AQ103" i="1"/>
  <c r="AP103" i="1"/>
  <c r="AH103" i="1"/>
  <c r="AG103" i="1"/>
  <c r="Y103" i="1"/>
  <c r="X103" i="1"/>
  <c r="P103" i="1"/>
  <c r="O103" i="1"/>
  <c r="G103" i="1"/>
  <c r="F103" i="1"/>
  <c r="BI102" i="1"/>
  <c r="BH102" i="1"/>
  <c r="AZ102" i="1"/>
  <c r="AY102" i="1"/>
  <c r="AQ102" i="1"/>
  <c r="AP102" i="1"/>
  <c r="AH102" i="1"/>
  <c r="AG102" i="1"/>
  <c r="Y102" i="1"/>
  <c r="X102" i="1"/>
  <c r="P102" i="1"/>
  <c r="O102" i="1"/>
  <c r="G102" i="1"/>
  <c r="F102" i="1"/>
  <c r="BI101" i="1"/>
  <c r="BH101" i="1"/>
  <c r="AZ101" i="1"/>
  <c r="AY101" i="1"/>
  <c r="AQ101" i="1"/>
  <c r="AP101" i="1"/>
  <c r="AH101" i="1"/>
  <c r="AG101" i="1"/>
  <c r="Y101" i="1"/>
  <c r="X101" i="1"/>
  <c r="P101" i="1"/>
  <c r="O101" i="1"/>
  <c r="G101" i="1"/>
  <c r="F101" i="1"/>
  <c r="BI100" i="1"/>
  <c r="BH100" i="1"/>
  <c r="AZ100" i="1"/>
  <c r="AY100" i="1"/>
  <c r="AQ100" i="1"/>
  <c r="AP100" i="1"/>
  <c r="AH100" i="1"/>
  <c r="AG100" i="1"/>
  <c r="Y100" i="1"/>
  <c r="X100" i="1"/>
  <c r="P100" i="1"/>
  <c r="O100" i="1"/>
  <c r="G100" i="1"/>
  <c r="F100" i="1"/>
  <c r="BI99" i="1"/>
  <c r="BH99" i="1"/>
  <c r="AZ99" i="1"/>
  <c r="AY99" i="1"/>
  <c r="AQ99" i="1"/>
  <c r="AP99" i="1"/>
  <c r="AH99" i="1"/>
  <c r="AG99" i="1"/>
  <c r="Y99" i="1"/>
  <c r="X99" i="1"/>
  <c r="P99" i="1"/>
  <c r="O99" i="1"/>
  <c r="G99" i="1"/>
  <c r="F99" i="1"/>
  <c r="BI98" i="1"/>
  <c r="BH98" i="1"/>
  <c r="AZ98" i="1"/>
  <c r="AY98" i="1"/>
  <c r="AQ98" i="1"/>
  <c r="AP98" i="1"/>
  <c r="AH98" i="1"/>
  <c r="AG98" i="1"/>
  <c r="Y98" i="1"/>
  <c r="X98" i="1"/>
  <c r="P98" i="1"/>
  <c r="O98" i="1"/>
  <c r="G98" i="1"/>
  <c r="F98" i="1"/>
  <c r="BI97" i="1"/>
  <c r="BH97" i="1"/>
  <c r="AZ97" i="1"/>
  <c r="AY97" i="1"/>
  <c r="AQ97" i="1"/>
  <c r="AP97" i="1"/>
  <c r="AH97" i="1"/>
  <c r="AG97" i="1"/>
  <c r="Y97" i="1"/>
  <c r="X97" i="1"/>
  <c r="P97" i="1"/>
  <c r="O97" i="1"/>
  <c r="G97" i="1"/>
  <c r="F97" i="1"/>
  <c r="BI96" i="1"/>
  <c r="BH96" i="1"/>
  <c r="AZ96" i="1"/>
  <c r="AY96" i="1"/>
  <c r="AQ96" i="1"/>
  <c r="AP96" i="1"/>
  <c r="AH96" i="1"/>
  <c r="AG96" i="1"/>
  <c r="Y96" i="1"/>
  <c r="X96" i="1"/>
  <c r="P96" i="1"/>
  <c r="O96" i="1"/>
  <c r="G96" i="1"/>
  <c r="F96" i="1"/>
  <c r="BI95" i="1"/>
  <c r="BH95" i="1"/>
  <c r="AZ95" i="1"/>
  <c r="AY95" i="1"/>
  <c r="AQ95" i="1"/>
  <c r="AP95" i="1"/>
  <c r="AH95" i="1"/>
  <c r="AG95" i="1"/>
  <c r="Y95" i="1"/>
  <c r="X95" i="1"/>
  <c r="P95" i="1"/>
  <c r="O95" i="1"/>
  <c r="G95" i="1"/>
  <c r="F95" i="1"/>
  <c r="BI94" i="1"/>
  <c r="BH94" i="1"/>
  <c r="AZ94" i="1"/>
  <c r="AY94" i="1"/>
  <c r="AQ94" i="1"/>
  <c r="AP94" i="1"/>
  <c r="AH94" i="1"/>
  <c r="AG94" i="1"/>
  <c r="Y94" i="1"/>
  <c r="X94" i="1"/>
  <c r="P94" i="1"/>
  <c r="O94" i="1"/>
  <c r="G94" i="1"/>
  <c r="F94" i="1"/>
  <c r="BI93" i="1"/>
  <c r="BH93" i="1"/>
  <c r="AZ93" i="1"/>
  <c r="AY93" i="1"/>
  <c r="AQ93" i="1"/>
  <c r="AP93" i="1"/>
  <c r="AH93" i="1"/>
  <c r="AG93" i="1"/>
  <c r="Y93" i="1"/>
  <c r="X93" i="1"/>
  <c r="P93" i="1"/>
  <c r="O93" i="1"/>
  <c r="G93" i="1"/>
  <c r="F93" i="1"/>
  <c r="BI92" i="1"/>
  <c r="BH92" i="1"/>
  <c r="AZ92" i="1"/>
  <c r="AY92" i="1"/>
  <c r="AQ92" i="1"/>
  <c r="AP92" i="1"/>
  <c r="AH92" i="1"/>
  <c r="AG92" i="1"/>
  <c r="Y92" i="1"/>
  <c r="X92" i="1"/>
  <c r="P92" i="1"/>
  <c r="O92" i="1"/>
  <c r="G92" i="1"/>
  <c r="F92" i="1"/>
  <c r="BI91" i="1"/>
  <c r="BH91" i="1"/>
  <c r="AZ91" i="1"/>
  <c r="AY91" i="1"/>
  <c r="AQ91" i="1"/>
  <c r="AP91" i="1"/>
  <c r="AH91" i="1"/>
  <c r="AG91" i="1"/>
  <c r="Y91" i="1"/>
  <c r="X91" i="1"/>
  <c r="P91" i="1"/>
  <c r="O91" i="1"/>
  <c r="G91" i="1"/>
  <c r="F91" i="1"/>
  <c r="BI90" i="1"/>
  <c r="BH90" i="1"/>
  <c r="AZ90" i="1"/>
  <c r="AY90" i="1"/>
  <c r="AQ90" i="1"/>
  <c r="AP90" i="1"/>
  <c r="AH90" i="1"/>
  <c r="AG90" i="1"/>
  <c r="Y90" i="1"/>
  <c r="X90" i="1"/>
  <c r="P90" i="1"/>
  <c r="O90" i="1"/>
  <c r="G90" i="1"/>
  <c r="F90" i="1"/>
  <c r="BI89" i="1"/>
  <c r="BH89" i="1"/>
  <c r="AZ89" i="1"/>
  <c r="AY89" i="1"/>
  <c r="AQ89" i="1"/>
  <c r="AP89" i="1"/>
  <c r="AH89" i="1"/>
  <c r="AG89" i="1"/>
  <c r="Y89" i="1"/>
  <c r="X89" i="1"/>
  <c r="P89" i="1"/>
  <c r="O89" i="1"/>
  <c r="G89" i="1"/>
  <c r="F89" i="1"/>
  <c r="BI88" i="1"/>
  <c r="BH88" i="1"/>
  <c r="AZ88" i="1"/>
  <c r="AY88" i="1"/>
  <c r="AQ88" i="1"/>
  <c r="AP88" i="1"/>
  <c r="AH88" i="1"/>
  <c r="AG88" i="1"/>
  <c r="Y88" i="1"/>
  <c r="X88" i="1"/>
  <c r="P88" i="1"/>
  <c r="O88" i="1"/>
  <c r="G88" i="1"/>
  <c r="F88" i="1"/>
  <c r="BI87" i="1"/>
  <c r="BH87" i="1"/>
  <c r="AZ87" i="1"/>
  <c r="AY87" i="1"/>
  <c r="AQ87" i="1"/>
  <c r="AP87" i="1"/>
  <c r="AH87" i="1"/>
  <c r="AG87" i="1"/>
  <c r="Y87" i="1"/>
  <c r="X87" i="1"/>
  <c r="P87" i="1"/>
  <c r="O87" i="1"/>
  <c r="G87" i="1"/>
  <c r="F87" i="1"/>
  <c r="BI86" i="1"/>
  <c r="BH86" i="1"/>
  <c r="AZ86" i="1"/>
  <c r="AY86" i="1"/>
  <c r="AQ86" i="1"/>
  <c r="AP86" i="1"/>
  <c r="AH86" i="1"/>
  <c r="AG86" i="1"/>
  <c r="Y86" i="1"/>
  <c r="X86" i="1"/>
  <c r="P86" i="1"/>
  <c r="O86" i="1"/>
  <c r="G86" i="1"/>
  <c r="F86" i="1"/>
  <c r="BI85" i="1"/>
  <c r="BH85" i="1"/>
  <c r="AZ85" i="1"/>
  <c r="AY85" i="1"/>
  <c r="AQ85" i="1"/>
  <c r="AP85" i="1"/>
  <c r="AH85" i="1"/>
  <c r="AG85" i="1"/>
  <c r="Y85" i="1"/>
  <c r="X85" i="1"/>
  <c r="P85" i="1"/>
  <c r="O85" i="1"/>
  <c r="G85" i="1"/>
  <c r="F85" i="1"/>
  <c r="BI84" i="1"/>
  <c r="BH84" i="1"/>
  <c r="AZ84" i="1"/>
  <c r="AY84" i="1"/>
  <c r="AQ84" i="1"/>
  <c r="AP84" i="1"/>
  <c r="AH84" i="1"/>
  <c r="AG84" i="1"/>
  <c r="Y84" i="1"/>
  <c r="X84" i="1"/>
  <c r="P84" i="1"/>
  <c r="O84" i="1"/>
  <c r="G84" i="1"/>
  <c r="F84" i="1"/>
  <c r="BI83" i="1"/>
  <c r="BH83" i="1"/>
  <c r="AZ83" i="1"/>
  <c r="AY83" i="1"/>
  <c r="AQ83" i="1"/>
  <c r="AP83" i="1"/>
  <c r="AH83" i="1"/>
  <c r="AG83" i="1"/>
  <c r="Y83" i="1"/>
  <c r="X83" i="1"/>
  <c r="P83" i="1"/>
  <c r="O83" i="1"/>
  <c r="G83" i="1"/>
  <c r="F83" i="1"/>
  <c r="BI82" i="1"/>
  <c r="BH82" i="1"/>
  <c r="AZ82" i="1"/>
  <c r="AY82" i="1"/>
  <c r="AQ82" i="1"/>
  <c r="AP82" i="1"/>
  <c r="AH82" i="1"/>
  <c r="AG82" i="1"/>
  <c r="Y82" i="1"/>
  <c r="X82" i="1"/>
  <c r="P82" i="1"/>
  <c r="O82" i="1"/>
  <c r="G82" i="1"/>
  <c r="F82" i="1"/>
  <c r="BI81" i="1"/>
  <c r="BH81" i="1"/>
  <c r="AZ81" i="1"/>
  <c r="AY81" i="1"/>
  <c r="AQ81" i="1"/>
  <c r="AP81" i="1"/>
  <c r="AH81" i="1"/>
  <c r="AG81" i="1"/>
  <c r="Y81" i="1"/>
  <c r="X81" i="1"/>
  <c r="P81" i="1"/>
  <c r="O81" i="1"/>
  <c r="G81" i="1"/>
  <c r="F81" i="1"/>
  <c r="BI80" i="1"/>
  <c r="BH80" i="1"/>
  <c r="AZ80" i="1"/>
  <c r="AY80" i="1"/>
  <c r="AQ80" i="1"/>
  <c r="AP80" i="1"/>
  <c r="AH80" i="1"/>
  <c r="AG80" i="1"/>
  <c r="Y80" i="1"/>
  <c r="X80" i="1"/>
  <c r="P80" i="1"/>
  <c r="O80" i="1"/>
  <c r="G80" i="1"/>
  <c r="F80" i="1"/>
  <c r="BI79" i="1"/>
  <c r="BH79" i="1"/>
  <c r="AZ79" i="1"/>
  <c r="AY79" i="1"/>
  <c r="AQ79" i="1"/>
  <c r="AP79" i="1"/>
  <c r="AH79" i="1"/>
  <c r="AG79" i="1"/>
  <c r="Y79" i="1"/>
  <c r="X79" i="1"/>
  <c r="P79" i="1"/>
  <c r="O79" i="1"/>
  <c r="G79" i="1"/>
  <c r="F79" i="1"/>
  <c r="BI78" i="1"/>
  <c r="BH78" i="1"/>
  <c r="AZ78" i="1"/>
  <c r="AY78" i="1"/>
  <c r="AQ78" i="1"/>
  <c r="AP78" i="1"/>
  <c r="AH78" i="1"/>
  <c r="AG78" i="1"/>
  <c r="Y78" i="1"/>
  <c r="X78" i="1"/>
  <c r="P78" i="1"/>
  <c r="O78" i="1"/>
  <c r="G78" i="1"/>
  <c r="F78" i="1"/>
  <c r="BI77" i="1"/>
  <c r="BH77" i="1"/>
  <c r="AZ77" i="1"/>
  <c r="AY77" i="1"/>
  <c r="AQ77" i="1"/>
  <c r="AP77" i="1"/>
  <c r="AH77" i="1"/>
  <c r="AG77" i="1"/>
  <c r="Y77" i="1"/>
  <c r="X77" i="1"/>
  <c r="P77" i="1"/>
  <c r="O77" i="1"/>
  <c r="G77" i="1"/>
  <c r="F77" i="1"/>
  <c r="BI76" i="1"/>
  <c r="BH76" i="1"/>
  <c r="AZ76" i="1"/>
  <c r="AY76" i="1"/>
  <c r="AQ76" i="1"/>
  <c r="AP76" i="1"/>
  <c r="AH76" i="1"/>
  <c r="AG76" i="1"/>
  <c r="Y76" i="1"/>
  <c r="X76" i="1"/>
  <c r="P76" i="1"/>
  <c r="O76" i="1"/>
  <c r="G76" i="1"/>
  <c r="F76" i="1"/>
  <c r="BI75" i="1"/>
  <c r="BH75" i="1"/>
  <c r="AZ75" i="1"/>
  <c r="AY75" i="1"/>
  <c r="AQ75" i="1"/>
  <c r="AP75" i="1"/>
  <c r="AH75" i="1"/>
  <c r="AG75" i="1"/>
  <c r="Y75" i="1"/>
  <c r="X75" i="1"/>
  <c r="P75" i="1"/>
  <c r="O75" i="1"/>
  <c r="G75" i="1"/>
  <c r="F75" i="1"/>
  <c r="BI74" i="1"/>
  <c r="BH74" i="1"/>
  <c r="AZ74" i="1"/>
  <c r="AY74" i="1"/>
  <c r="AQ74" i="1"/>
  <c r="AP74" i="1"/>
  <c r="AH74" i="1"/>
  <c r="AG74" i="1"/>
  <c r="Y74" i="1"/>
  <c r="X74" i="1"/>
  <c r="P74" i="1"/>
  <c r="O74" i="1"/>
  <c r="G74" i="1"/>
  <c r="F74" i="1"/>
  <c r="BI73" i="1"/>
  <c r="BH73" i="1"/>
  <c r="AZ73" i="1"/>
  <c r="AY73" i="1"/>
  <c r="AQ73" i="1"/>
  <c r="AP73" i="1"/>
  <c r="AH73" i="1"/>
  <c r="AG73" i="1"/>
  <c r="Y73" i="1"/>
  <c r="X73" i="1"/>
  <c r="P73" i="1"/>
  <c r="O73" i="1"/>
  <c r="G73" i="1"/>
  <c r="F73" i="1"/>
  <c r="BI72" i="1"/>
  <c r="BH72" i="1"/>
  <c r="AZ72" i="1"/>
  <c r="AY72" i="1"/>
  <c r="AQ72" i="1"/>
  <c r="AP72" i="1"/>
  <c r="AH72" i="1"/>
  <c r="AG72" i="1"/>
  <c r="Y72" i="1"/>
  <c r="X72" i="1"/>
  <c r="P72" i="1"/>
  <c r="O72" i="1"/>
  <c r="G72" i="1"/>
  <c r="F72" i="1"/>
  <c r="BI71" i="1"/>
  <c r="BH71" i="1"/>
  <c r="AZ71" i="1"/>
  <c r="AY71" i="1"/>
  <c r="AQ71" i="1"/>
  <c r="AP71" i="1"/>
  <c r="AH71" i="1"/>
  <c r="AG71" i="1"/>
  <c r="Y71" i="1"/>
  <c r="X71" i="1"/>
  <c r="P71" i="1"/>
  <c r="O71" i="1"/>
  <c r="G71" i="1"/>
  <c r="F71" i="1"/>
  <c r="BI70" i="1"/>
  <c r="BH70" i="1"/>
  <c r="AZ70" i="1"/>
  <c r="AY70" i="1"/>
  <c r="AQ70" i="1"/>
  <c r="AP70" i="1"/>
  <c r="AH70" i="1"/>
  <c r="AG70" i="1"/>
  <c r="Y70" i="1"/>
  <c r="X70" i="1"/>
  <c r="P70" i="1"/>
  <c r="O70" i="1"/>
  <c r="G70" i="1"/>
  <c r="F70" i="1"/>
  <c r="BI69" i="1"/>
  <c r="BH69" i="1"/>
  <c r="AZ69" i="1"/>
  <c r="AY69" i="1"/>
  <c r="AQ69" i="1"/>
  <c r="AP69" i="1"/>
  <c r="AH69" i="1"/>
  <c r="AG69" i="1"/>
  <c r="Y69" i="1"/>
  <c r="X69" i="1"/>
  <c r="P69" i="1"/>
  <c r="O69" i="1"/>
  <c r="G69" i="1"/>
  <c r="F69" i="1"/>
  <c r="BI68" i="1"/>
  <c r="BH68" i="1"/>
  <c r="AZ68" i="1"/>
  <c r="AY68" i="1"/>
  <c r="AQ68" i="1"/>
  <c r="AP68" i="1"/>
  <c r="AH68" i="1"/>
  <c r="AG68" i="1"/>
  <c r="Y68" i="1"/>
  <c r="X68" i="1"/>
  <c r="P68" i="1"/>
  <c r="O68" i="1"/>
  <c r="G68" i="1"/>
  <c r="F68" i="1"/>
  <c r="BI67" i="1"/>
  <c r="BH67" i="1"/>
  <c r="AZ67" i="1"/>
  <c r="AY67" i="1"/>
  <c r="AQ67" i="1"/>
  <c r="AP67" i="1"/>
  <c r="AH67" i="1"/>
  <c r="AG67" i="1"/>
  <c r="Y67" i="1"/>
  <c r="X67" i="1"/>
  <c r="P67" i="1"/>
  <c r="O67" i="1"/>
  <c r="G67" i="1"/>
  <c r="F67" i="1"/>
  <c r="BI66" i="1"/>
  <c r="BH66" i="1"/>
  <c r="AZ66" i="1"/>
  <c r="AY66" i="1"/>
  <c r="AQ66" i="1"/>
  <c r="AP66" i="1"/>
  <c r="AH66" i="1"/>
  <c r="AG66" i="1"/>
  <c r="Y66" i="1"/>
  <c r="X66" i="1"/>
  <c r="P66" i="1"/>
  <c r="O66" i="1"/>
  <c r="G66" i="1"/>
  <c r="F66" i="1"/>
  <c r="BI65" i="1"/>
  <c r="BH65" i="1"/>
  <c r="AZ65" i="1"/>
  <c r="AY65" i="1"/>
  <c r="AQ65" i="1"/>
  <c r="AP65" i="1"/>
  <c r="AH65" i="1"/>
  <c r="AG65" i="1"/>
  <c r="Y65" i="1"/>
  <c r="X65" i="1"/>
  <c r="P65" i="1"/>
  <c r="O65" i="1"/>
  <c r="G65" i="1"/>
  <c r="F65" i="1"/>
  <c r="BI64" i="1"/>
  <c r="BH64" i="1"/>
  <c r="AZ64" i="1"/>
  <c r="AY64" i="1"/>
  <c r="AQ64" i="1"/>
  <c r="AP64" i="1"/>
  <c r="AH64" i="1"/>
  <c r="AG64" i="1"/>
  <c r="Y64" i="1"/>
  <c r="X64" i="1"/>
  <c r="P64" i="1"/>
  <c r="O64" i="1"/>
  <c r="G64" i="1"/>
  <c r="F64" i="1"/>
  <c r="BI63" i="1"/>
  <c r="BH63" i="1"/>
  <c r="AZ63" i="1"/>
  <c r="AY63" i="1"/>
  <c r="AQ63" i="1"/>
  <c r="AP63" i="1"/>
  <c r="AH63" i="1"/>
  <c r="AG63" i="1"/>
  <c r="Y63" i="1"/>
  <c r="X63" i="1"/>
  <c r="P63" i="1"/>
  <c r="O63" i="1"/>
  <c r="G63" i="1"/>
  <c r="F63" i="1"/>
  <c r="BI62" i="1"/>
  <c r="BH62" i="1"/>
  <c r="AZ62" i="1"/>
  <c r="AY62" i="1"/>
  <c r="AQ62" i="1"/>
  <c r="AP62" i="1"/>
  <c r="AH62" i="1"/>
  <c r="AG62" i="1"/>
  <c r="Y62" i="1"/>
  <c r="X62" i="1"/>
  <c r="P62" i="1"/>
  <c r="O62" i="1"/>
  <c r="G62" i="1"/>
  <c r="F62" i="1"/>
  <c r="BI61" i="1"/>
  <c r="BH61" i="1"/>
  <c r="AZ61" i="1"/>
  <c r="AY61" i="1"/>
  <c r="AQ61" i="1"/>
  <c r="AP61" i="1"/>
  <c r="AH61" i="1"/>
  <c r="AG61" i="1"/>
  <c r="Y61" i="1"/>
  <c r="X61" i="1"/>
  <c r="P61" i="1"/>
  <c r="O61" i="1"/>
  <c r="G61" i="1"/>
  <c r="F61" i="1"/>
  <c r="BI60" i="1"/>
  <c r="BH60" i="1"/>
  <c r="AZ60" i="1"/>
  <c r="AY60" i="1"/>
  <c r="AQ60" i="1"/>
  <c r="AP60" i="1"/>
  <c r="AH60" i="1"/>
  <c r="AG60" i="1"/>
  <c r="Y60" i="1"/>
  <c r="X60" i="1"/>
  <c r="P60" i="1"/>
  <c r="O60" i="1"/>
  <c r="G60" i="1"/>
  <c r="F60" i="1"/>
  <c r="BI59" i="1"/>
  <c r="BH59" i="1"/>
  <c r="AZ59" i="1"/>
  <c r="AY59" i="1"/>
  <c r="AQ59" i="1"/>
  <c r="AP59" i="1"/>
  <c r="AH59" i="1"/>
  <c r="AG59" i="1"/>
  <c r="Y59" i="1"/>
  <c r="X59" i="1"/>
  <c r="P59" i="1"/>
  <c r="O59" i="1"/>
  <c r="G59" i="1"/>
  <c r="F59" i="1"/>
  <c r="BI58" i="1"/>
  <c r="BH58" i="1"/>
  <c r="AZ58" i="1"/>
  <c r="AY58" i="1"/>
  <c r="AQ58" i="1"/>
  <c r="AP58" i="1"/>
  <c r="AH58" i="1"/>
  <c r="AG58" i="1"/>
  <c r="Y58" i="1"/>
  <c r="X58" i="1"/>
  <c r="P58" i="1"/>
  <c r="O58" i="1"/>
  <c r="G58" i="1"/>
  <c r="F58" i="1"/>
  <c r="BI57" i="1"/>
  <c r="BH57" i="1"/>
  <c r="AZ57" i="1"/>
  <c r="AY57" i="1"/>
  <c r="AQ57" i="1"/>
  <c r="AP57" i="1"/>
  <c r="AH57" i="1"/>
  <c r="AG57" i="1"/>
  <c r="Y57" i="1"/>
  <c r="X57" i="1"/>
  <c r="P57" i="1"/>
  <c r="O57" i="1"/>
  <c r="G57" i="1"/>
  <c r="F57" i="1"/>
  <c r="BI56" i="1"/>
  <c r="BH56" i="1"/>
  <c r="AZ56" i="1"/>
  <c r="AY56" i="1"/>
  <c r="AQ56" i="1"/>
  <c r="AP56" i="1"/>
  <c r="AH56" i="1"/>
  <c r="AG56" i="1"/>
  <c r="Y56" i="1"/>
  <c r="X56" i="1"/>
  <c r="P56" i="1"/>
  <c r="O56" i="1"/>
  <c r="G56" i="1"/>
  <c r="F56" i="1"/>
  <c r="BI55" i="1"/>
  <c r="BH55" i="1"/>
  <c r="AZ55" i="1"/>
  <c r="AY55" i="1"/>
  <c r="AQ55" i="1"/>
  <c r="AP55" i="1"/>
  <c r="AH55" i="1"/>
  <c r="AG55" i="1"/>
  <c r="Y55" i="1"/>
  <c r="X55" i="1"/>
  <c r="P55" i="1"/>
  <c r="O55" i="1"/>
  <c r="G55" i="1"/>
  <c r="F55" i="1"/>
  <c r="BI54" i="1"/>
  <c r="BH54" i="1"/>
  <c r="AZ54" i="1"/>
  <c r="AY54" i="1"/>
  <c r="AQ54" i="1"/>
  <c r="AP54" i="1"/>
  <c r="AH54" i="1"/>
  <c r="AG54" i="1"/>
  <c r="Y54" i="1"/>
  <c r="X54" i="1"/>
  <c r="P54" i="1"/>
  <c r="O54" i="1"/>
  <c r="G54" i="1"/>
  <c r="F54" i="1"/>
  <c r="BI53" i="1"/>
  <c r="BH53" i="1"/>
  <c r="AZ53" i="1"/>
  <c r="AY53" i="1"/>
  <c r="AQ53" i="1"/>
  <c r="AP53" i="1"/>
  <c r="AH53" i="1"/>
  <c r="AG53" i="1"/>
  <c r="Y53" i="1"/>
  <c r="X53" i="1"/>
  <c r="P53" i="1"/>
  <c r="O53" i="1"/>
  <c r="G53" i="1"/>
  <c r="F53" i="1"/>
  <c r="BI52" i="1"/>
  <c r="BH52" i="1"/>
  <c r="AZ52" i="1"/>
  <c r="AY52" i="1"/>
  <c r="AQ52" i="1"/>
  <c r="AP52" i="1"/>
  <c r="AH52" i="1"/>
  <c r="AG52" i="1"/>
  <c r="Y52" i="1"/>
  <c r="X52" i="1"/>
  <c r="P52" i="1"/>
  <c r="O52" i="1"/>
  <c r="G52" i="1"/>
  <c r="F52" i="1"/>
  <c r="BI51" i="1"/>
  <c r="BH51" i="1"/>
  <c r="AZ51" i="1"/>
  <c r="AY51" i="1"/>
  <c r="AQ51" i="1"/>
  <c r="AP51" i="1"/>
  <c r="AH51" i="1"/>
  <c r="AG51" i="1"/>
  <c r="Y51" i="1"/>
  <c r="X51" i="1"/>
  <c r="P51" i="1"/>
  <c r="O51" i="1"/>
  <c r="G51" i="1"/>
  <c r="F51" i="1"/>
  <c r="BI50" i="1"/>
  <c r="BH50" i="1"/>
  <c r="AZ50" i="1"/>
  <c r="AY50" i="1"/>
  <c r="AQ50" i="1"/>
  <c r="AP50" i="1"/>
  <c r="AH50" i="1"/>
  <c r="AG50" i="1"/>
  <c r="Y50" i="1"/>
  <c r="X50" i="1"/>
  <c r="P50" i="1"/>
  <c r="O50" i="1"/>
  <c r="G50" i="1"/>
  <c r="F50" i="1"/>
  <c r="BI49" i="1"/>
  <c r="BH49" i="1"/>
  <c r="AZ49" i="1"/>
  <c r="AY49" i="1"/>
  <c r="AQ49" i="1"/>
  <c r="AP49" i="1"/>
  <c r="AH49" i="1"/>
  <c r="AG49" i="1"/>
  <c r="Y49" i="1"/>
  <c r="X49" i="1"/>
  <c r="P49" i="1"/>
  <c r="O49" i="1"/>
  <c r="G49" i="1"/>
  <c r="F49" i="1"/>
  <c r="BI48" i="1"/>
  <c r="BH48" i="1"/>
  <c r="AZ48" i="1"/>
  <c r="AY48" i="1"/>
  <c r="AQ48" i="1"/>
  <c r="AP48" i="1"/>
  <c r="AH48" i="1"/>
  <c r="AG48" i="1"/>
  <c r="Y48" i="1"/>
  <c r="X48" i="1"/>
  <c r="P48" i="1"/>
  <c r="O48" i="1"/>
  <c r="G48" i="1"/>
  <c r="F48" i="1"/>
  <c r="BI47" i="1"/>
  <c r="BH47" i="1"/>
  <c r="AZ47" i="1"/>
  <c r="AY47" i="1"/>
  <c r="AQ47" i="1"/>
  <c r="AP47" i="1"/>
  <c r="AH47" i="1"/>
  <c r="AG47" i="1"/>
  <c r="Y47" i="1"/>
  <c r="X47" i="1"/>
  <c r="P47" i="1"/>
  <c r="O47" i="1"/>
  <c r="G47" i="1"/>
  <c r="F47" i="1"/>
  <c r="BI46" i="1"/>
  <c r="BH46" i="1"/>
  <c r="AZ46" i="1"/>
  <c r="AY46" i="1"/>
  <c r="AQ46" i="1"/>
  <c r="AP46" i="1"/>
  <c r="AH46" i="1"/>
  <c r="AG46" i="1"/>
  <c r="Y46" i="1"/>
  <c r="X46" i="1"/>
  <c r="P46" i="1"/>
  <c r="O46" i="1"/>
  <c r="G46" i="1"/>
  <c r="F46" i="1"/>
  <c r="BI45" i="1"/>
  <c r="BH45" i="1"/>
  <c r="AZ45" i="1"/>
  <c r="AY45" i="1"/>
  <c r="AQ45" i="1"/>
  <c r="AP45" i="1"/>
  <c r="AH45" i="1"/>
  <c r="AG45" i="1"/>
  <c r="Y45" i="1"/>
  <c r="X45" i="1"/>
  <c r="P45" i="1"/>
  <c r="O45" i="1"/>
  <c r="G45" i="1"/>
  <c r="F45" i="1"/>
  <c r="BI44" i="1"/>
  <c r="BH44" i="1"/>
  <c r="AZ44" i="1"/>
  <c r="AY44" i="1"/>
  <c r="AQ44" i="1"/>
  <c r="AP44" i="1"/>
  <c r="AH44" i="1"/>
  <c r="AG44" i="1"/>
  <c r="Y44" i="1"/>
  <c r="X44" i="1"/>
  <c r="P44" i="1"/>
  <c r="O44" i="1"/>
  <c r="G44" i="1"/>
  <c r="F44" i="1"/>
  <c r="BI43" i="1"/>
  <c r="BH43" i="1"/>
  <c r="AZ43" i="1"/>
  <c r="AY43" i="1"/>
  <c r="AQ43" i="1"/>
  <c r="AP43" i="1"/>
  <c r="AH43" i="1"/>
  <c r="AG43" i="1"/>
  <c r="Y43" i="1"/>
  <c r="X43" i="1"/>
  <c r="P43" i="1"/>
  <c r="O43" i="1"/>
  <c r="G43" i="1"/>
  <c r="F43" i="1"/>
  <c r="BI42" i="1"/>
  <c r="BH42" i="1"/>
  <c r="AZ42" i="1"/>
  <c r="AY42" i="1"/>
  <c r="AQ42" i="1"/>
  <c r="AP42" i="1"/>
  <c r="AH42" i="1"/>
  <c r="AG42" i="1"/>
  <c r="Y42" i="1"/>
  <c r="X42" i="1"/>
  <c r="P42" i="1"/>
  <c r="O42" i="1"/>
  <c r="G42" i="1"/>
  <c r="F42" i="1"/>
  <c r="BI41" i="1"/>
  <c r="BH41" i="1"/>
  <c r="AZ41" i="1"/>
  <c r="AY41" i="1"/>
  <c r="AQ41" i="1"/>
  <c r="AP41" i="1"/>
  <c r="AH41" i="1"/>
  <c r="AG41" i="1"/>
  <c r="Y41" i="1"/>
  <c r="X41" i="1"/>
  <c r="P41" i="1"/>
  <c r="O41" i="1"/>
  <c r="G41" i="1"/>
  <c r="F41" i="1"/>
  <c r="BI40" i="1"/>
  <c r="BH40" i="1"/>
  <c r="AZ40" i="1"/>
  <c r="AY40" i="1"/>
  <c r="AQ40" i="1"/>
  <c r="AP40" i="1"/>
  <c r="AH40" i="1"/>
  <c r="AG40" i="1"/>
  <c r="Y40" i="1"/>
  <c r="X40" i="1"/>
  <c r="P40" i="1"/>
  <c r="O40" i="1"/>
  <c r="G40" i="1"/>
  <c r="F40" i="1"/>
  <c r="BI39" i="1"/>
  <c r="BH39" i="1"/>
  <c r="AZ39" i="1"/>
  <c r="AY39" i="1"/>
  <c r="AQ39" i="1"/>
  <c r="AP39" i="1"/>
  <c r="AH39" i="1"/>
  <c r="AG39" i="1"/>
  <c r="Y39" i="1"/>
  <c r="X39" i="1"/>
  <c r="P39" i="1"/>
  <c r="O39" i="1"/>
  <c r="G39" i="1"/>
  <c r="F39" i="1"/>
  <c r="BI38" i="1"/>
  <c r="BH38" i="1"/>
  <c r="AZ38" i="1"/>
  <c r="AY38" i="1"/>
  <c r="AQ38" i="1"/>
  <c r="AP38" i="1"/>
  <c r="AH38" i="1"/>
  <c r="AG38" i="1"/>
  <c r="Y38" i="1"/>
  <c r="X38" i="1"/>
  <c r="P38" i="1"/>
  <c r="O38" i="1"/>
  <c r="G38" i="1"/>
  <c r="F38" i="1"/>
  <c r="BI37" i="1"/>
  <c r="BH37" i="1"/>
  <c r="AZ37" i="1"/>
  <c r="AY37" i="1"/>
  <c r="AQ37" i="1"/>
  <c r="AP37" i="1"/>
  <c r="AH37" i="1"/>
  <c r="AG37" i="1"/>
  <c r="Y37" i="1"/>
  <c r="X37" i="1"/>
  <c r="P37" i="1"/>
  <c r="O37" i="1"/>
  <c r="G37" i="1"/>
  <c r="F37" i="1"/>
  <c r="BI36" i="1"/>
  <c r="BH36" i="1"/>
  <c r="AZ36" i="1"/>
  <c r="AY36" i="1"/>
  <c r="AQ36" i="1"/>
  <c r="AP36" i="1"/>
  <c r="AH36" i="1"/>
  <c r="AG36" i="1"/>
  <c r="Y36" i="1"/>
  <c r="X36" i="1"/>
  <c r="P36" i="1"/>
  <c r="O36" i="1"/>
  <c r="G36" i="1"/>
  <c r="F36" i="1"/>
  <c r="BI35" i="1"/>
  <c r="BH35" i="1"/>
  <c r="AZ35" i="1"/>
  <c r="AY35" i="1"/>
  <c r="AQ35" i="1"/>
  <c r="AP35" i="1"/>
  <c r="AH35" i="1"/>
  <c r="AG35" i="1"/>
  <c r="Y35" i="1"/>
  <c r="X35" i="1"/>
  <c r="P35" i="1"/>
  <c r="O35" i="1"/>
  <c r="G35" i="1"/>
  <c r="F35" i="1"/>
  <c r="BI34" i="1"/>
  <c r="BH34" i="1"/>
  <c r="AZ34" i="1"/>
  <c r="AY34" i="1"/>
  <c r="AQ34" i="1"/>
  <c r="AP34" i="1"/>
  <c r="AH34" i="1"/>
  <c r="AG34" i="1"/>
  <c r="Y34" i="1"/>
  <c r="X34" i="1"/>
  <c r="P34" i="1"/>
  <c r="O34" i="1"/>
  <c r="G34" i="1"/>
  <c r="F34" i="1"/>
  <c r="BI33" i="1"/>
  <c r="BH33" i="1"/>
  <c r="AZ33" i="1"/>
  <c r="AY33" i="1"/>
  <c r="AQ33" i="1"/>
  <c r="AP33" i="1"/>
  <c r="AH33" i="1"/>
  <c r="AG33" i="1"/>
  <c r="Y33" i="1"/>
  <c r="X33" i="1"/>
  <c r="P33" i="1"/>
  <c r="O33" i="1"/>
  <c r="G33" i="1"/>
  <c r="F33" i="1"/>
  <c r="BI32" i="1"/>
  <c r="BH32" i="1"/>
  <c r="AZ32" i="1"/>
  <c r="AY32" i="1"/>
  <c r="AQ32" i="1"/>
  <c r="AP32" i="1"/>
  <c r="AH32" i="1"/>
  <c r="AG32" i="1"/>
  <c r="Y32" i="1"/>
  <c r="X32" i="1"/>
  <c r="P32" i="1"/>
  <c r="O32" i="1"/>
  <c r="G32" i="1"/>
  <c r="F32" i="1"/>
  <c r="BI31" i="1"/>
  <c r="BH31" i="1"/>
  <c r="AZ31" i="1"/>
  <c r="AY31" i="1"/>
  <c r="AQ31" i="1"/>
  <c r="AP31" i="1"/>
  <c r="AH31" i="1"/>
  <c r="AG31" i="1"/>
  <c r="Y31" i="1"/>
  <c r="X31" i="1"/>
  <c r="P31" i="1"/>
  <c r="O31" i="1"/>
  <c r="G31" i="1"/>
  <c r="F31" i="1"/>
  <c r="BI30" i="1"/>
  <c r="BH30" i="1"/>
  <c r="AZ30" i="1"/>
  <c r="AY30" i="1"/>
  <c r="AQ30" i="1"/>
  <c r="AP30" i="1"/>
  <c r="AH30" i="1"/>
  <c r="AG30" i="1"/>
  <c r="Y30" i="1"/>
  <c r="X30" i="1"/>
  <c r="P30" i="1"/>
  <c r="O30" i="1"/>
  <c r="G30" i="1"/>
  <c r="F30" i="1"/>
  <c r="BI29" i="1"/>
  <c r="BH29" i="1"/>
  <c r="AZ29" i="1"/>
  <c r="AY29" i="1"/>
  <c r="AQ29" i="1"/>
  <c r="AP29" i="1"/>
  <c r="AH29" i="1"/>
  <c r="AG29" i="1"/>
  <c r="Y29" i="1"/>
  <c r="X29" i="1"/>
  <c r="P29" i="1"/>
  <c r="O29" i="1"/>
  <c r="G29" i="1"/>
  <c r="F29" i="1"/>
  <c r="BI28" i="1"/>
  <c r="BH28" i="1"/>
  <c r="AZ28" i="1"/>
  <c r="AY28" i="1"/>
  <c r="AQ28" i="1"/>
  <c r="AP28" i="1"/>
  <c r="AH28" i="1"/>
  <c r="AG28" i="1"/>
  <c r="Y28" i="1"/>
  <c r="X28" i="1"/>
  <c r="P28" i="1"/>
  <c r="O28" i="1"/>
  <c r="G28" i="1"/>
  <c r="F28" i="1"/>
  <c r="BI27" i="1"/>
  <c r="BH27" i="1"/>
  <c r="AZ27" i="1"/>
  <c r="AY27" i="1"/>
  <c r="AQ27" i="1"/>
  <c r="AP27" i="1"/>
  <c r="AH27" i="1"/>
  <c r="AG27" i="1"/>
  <c r="Y27" i="1"/>
  <c r="X27" i="1"/>
  <c r="P27" i="1"/>
  <c r="O27" i="1"/>
  <c r="G27" i="1"/>
  <c r="F27" i="1"/>
  <c r="BI26" i="1"/>
  <c r="BH26" i="1"/>
  <c r="AZ26" i="1"/>
  <c r="AY26" i="1"/>
  <c r="AQ26" i="1"/>
  <c r="AP26" i="1"/>
  <c r="AH26" i="1"/>
  <c r="AG26" i="1"/>
  <c r="Y26" i="1"/>
  <c r="X26" i="1"/>
  <c r="P26" i="1"/>
  <c r="O26" i="1"/>
  <c r="G26" i="1"/>
  <c r="F26" i="1"/>
  <c r="BI25" i="1"/>
  <c r="BH25" i="1"/>
  <c r="AZ25" i="1"/>
  <c r="AY25" i="1"/>
  <c r="AQ25" i="1"/>
  <c r="AP25" i="1"/>
  <c r="AH25" i="1"/>
  <c r="AG25" i="1"/>
  <c r="Y25" i="1"/>
  <c r="X25" i="1"/>
  <c r="P25" i="1"/>
  <c r="O25" i="1"/>
  <c r="G25" i="1"/>
  <c r="F25" i="1"/>
  <c r="BI24" i="1"/>
  <c r="BH24" i="1"/>
  <c r="AZ24" i="1"/>
  <c r="AY24" i="1"/>
  <c r="AQ24" i="1"/>
  <c r="AP24" i="1"/>
  <c r="AH24" i="1"/>
  <c r="AG24" i="1"/>
  <c r="Y24" i="1"/>
  <c r="X24" i="1"/>
  <c r="P24" i="1"/>
  <c r="O24" i="1"/>
  <c r="G24" i="1"/>
  <c r="F24" i="1"/>
  <c r="BI23" i="1"/>
  <c r="BH23" i="1"/>
  <c r="AZ23" i="1"/>
  <c r="AY23" i="1"/>
  <c r="AQ23" i="1"/>
  <c r="AP23" i="1"/>
  <c r="AH23" i="1"/>
  <c r="AG23" i="1"/>
  <c r="Y23" i="1"/>
  <c r="X23" i="1"/>
  <c r="P23" i="1"/>
  <c r="O23" i="1"/>
  <c r="G23" i="1"/>
  <c r="F23" i="1"/>
  <c r="BI22" i="1"/>
  <c r="BH22" i="1"/>
  <c r="AZ22" i="1"/>
  <c r="AY22" i="1"/>
  <c r="AQ22" i="1"/>
  <c r="AP22" i="1"/>
  <c r="AH22" i="1"/>
  <c r="AG22" i="1"/>
  <c r="Y22" i="1"/>
  <c r="X22" i="1"/>
  <c r="P22" i="1"/>
  <c r="O22" i="1"/>
  <c r="G22" i="1"/>
  <c r="F22" i="1"/>
  <c r="BI21" i="1"/>
  <c r="BH21" i="1"/>
  <c r="AZ21" i="1"/>
  <c r="AY21" i="1"/>
  <c r="AQ21" i="1"/>
  <c r="AP21" i="1"/>
  <c r="AH21" i="1"/>
  <c r="AG21" i="1"/>
  <c r="Y21" i="1"/>
  <c r="X21" i="1"/>
  <c r="P21" i="1"/>
  <c r="O21" i="1"/>
  <c r="G21" i="1"/>
  <c r="F21" i="1"/>
  <c r="BI20" i="1"/>
  <c r="BH20" i="1"/>
  <c r="AZ20" i="1"/>
  <c r="AY20" i="1"/>
  <c r="AQ20" i="1"/>
  <c r="AP20" i="1"/>
  <c r="AH20" i="1"/>
  <c r="AG20" i="1"/>
  <c r="Y20" i="1"/>
  <c r="X20" i="1"/>
  <c r="P20" i="1"/>
  <c r="O20" i="1"/>
  <c r="G20" i="1"/>
  <c r="F20" i="1"/>
  <c r="BI19" i="1"/>
  <c r="BH19" i="1"/>
  <c r="AZ19" i="1"/>
  <c r="AY19" i="1"/>
  <c r="AQ19" i="1"/>
  <c r="AP19" i="1"/>
  <c r="AH19" i="1"/>
  <c r="AG19" i="1"/>
  <c r="Y19" i="1"/>
  <c r="X19" i="1"/>
  <c r="P19" i="1"/>
  <c r="O19" i="1"/>
  <c r="G19" i="1"/>
  <c r="F19" i="1"/>
  <c r="BI18" i="1"/>
  <c r="BH18" i="1"/>
  <c r="AZ18" i="1"/>
  <c r="AY18" i="1"/>
  <c r="AQ18" i="1"/>
  <c r="AP18" i="1"/>
  <c r="AH18" i="1"/>
  <c r="AG18" i="1"/>
  <c r="Y18" i="1"/>
  <c r="X18" i="1"/>
  <c r="P18" i="1"/>
  <c r="O18" i="1"/>
  <c r="G18" i="1"/>
  <c r="F18" i="1"/>
  <c r="BI17" i="1"/>
  <c r="BH17" i="1"/>
  <c r="AZ17" i="1"/>
  <c r="AY17" i="1"/>
  <c r="AQ17" i="1"/>
  <c r="AP17" i="1"/>
  <c r="AH17" i="1"/>
  <c r="AG17" i="1"/>
  <c r="Y17" i="1"/>
  <c r="X17" i="1"/>
  <c r="P17" i="1"/>
  <c r="O17" i="1"/>
  <c r="G17" i="1"/>
  <c r="F17" i="1"/>
  <c r="BI16" i="1"/>
  <c r="BH16" i="1"/>
  <c r="AZ16" i="1"/>
  <c r="AY16" i="1"/>
  <c r="AQ16" i="1"/>
  <c r="AP16" i="1"/>
  <c r="AH16" i="1"/>
  <c r="AG16" i="1"/>
  <c r="Y16" i="1"/>
  <c r="X16" i="1"/>
  <c r="P16" i="1"/>
  <c r="O16" i="1"/>
  <c r="G16" i="1"/>
  <c r="F16" i="1"/>
  <c r="BI15" i="1"/>
  <c r="BH15" i="1"/>
  <c r="AZ15" i="1"/>
  <c r="AY15" i="1"/>
  <c r="AQ15" i="1"/>
  <c r="AP15" i="1"/>
  <c r="AH15" i="1"/>
  <c r="AG15" i="1"/>
  <c r="Y15" i="1"/>
  <c r="X15" i="1"/>
  <c r="P15" i="1"/>
  <c r="O15" i="1"/>
  <c r="G15" i="1"/>
  <c r="F15" i="1"/>
  <c r="BI14" i="1"/>
  <c r="BH14" i="1"/>
  <c r="AZ14" i="1"/>
  <c r="AY14" i="1"/>
  <c r="AQ14" i="1"/>
  <c r="AP14" i="1"/>
  <c r="AH14" i="1"/>
  <c r="AG14" i="1"/>
  <c r="Y14" i="1"/>
  <c r="X14" i="1"/>
  <c r="P14" i="1"/>
  <c r="O14" i="1"/>
  <c r="G14" i="1"/>
  <c r="F14" i="1"/>
  <c r="BI13" i="1"/>
  <c r="BH13" i="1"/>
  <c r="AZ13" i="1"/>
  <c r="AY13" i="1"/>
  <c r="AQ13" i="1"/>
  <c r="AP13" i="1"/>
  <c r="AH13" i="1"/>
  <c r="AG13" i="1"/>
  <c r="Y13" i="1"/>
  <c r="X13" i="1"/>
  <c r="P13" i="1"/>
  <c r="O13" i="1"/>
  <c r="G13" i="1"/>
  <c r="F13" i="1"/>
  <c r="BI12" i="1"/>
  <c r="BH12" i="1"/>
  <c r="AZ12" i="1"/>
  <c r="AY12" i="1"/>
  <c r="AQ12" i="1"/>
  <c r="AP12" i="1"/>
  <c r="AH12" i="1"/>
  <c r="AG12" i="1"/>
  <c r="Y12" i="1"/>
  <c r="Z9" i="1" s="1"/>
  <c r="AA9" i="1" s="1"/>
  <c r="X12" i="1"/>
  <c r="P12" i="1"/>
  <c r="O12" i="1"/>
  <c r="G12" i="1"/>
  <c r="F12" i="1"/>
  <c r="BI11" i="1"/>
  <c r="BH11" i="1"/>
  <c r="AZ11" i="1"/>
  <c r="AY11" i="1"/>
  <c r="AQ11" i="1"/>
  <c r="AP11" i="1"/>
  <c r="AH11" i="1"/>
  <c r="AG11" i="1"/>
  <c r="Y11" i="1"/>
  <c r="X11" i="1"/>
  <c r="P11" i="1"/>
  <c r="O11" i="1"/>
  <c r="G11" i="1"/>
  <c r="F11" i="1"/>
  <c r="BI10" i="1"/>
  <c r="BH10" i="1"/>
  <c r="AZ10" i="1"/>
  <c r="BA9" i="1" s="1"/>
  <c r="BB9" i="1" s="1"/>
  <c r="AY10" i="1"/>
  <c r="AQ10" i="1"/>
  <c r="AP10" i="1"/>
  <c r="AH10" i="1"/>
  <c r="AG10" i="1"/>
  <c r="Y10" i="1"/>
  <c r="X10" i="1"/>
  <c r="P10" i="1"/>
  <c r="O10" i="1"/>
  <c r="G10" i="1"/>
  <c r="F10" i="1"/>
  <c r="BJ9" i="1"/>
  <c r="BK9" i="1" s="1"/>
  <c r="BI9" i="1"/>
  <c r="BH9" i="1"/>
  <c r="AZ9" i="1"/>
  <c r="AY9" i="1"/>
  <c r="AQ9" i="1"/>
  <c r="AR9" i="1" s="1"/>
  <c r="AS9" i="1" s="1"/>
  <c r="AP9" i="1"/>
  <c r="AI9" i="1"/>
  <c r="AJ9" i="1" s="1"/>
  <c r="AH9" i="1"/>
  <c r="AG9" i="1"/>
  <c r="Y9" i="1"/>
  <c r="X9" i="1"/>
  <c r="P9" i="1"/>
  <c r="Q9" i="1" s="1"/>
  <c r="R9" i="1" s="1"/>
  <c r="O9" i="1"/>
  <c r="H9" i="1"/>
  <c r="I9" i="1" s="1"/>
  <c r="G9" i="1"/>
  <c r="F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83CC3362-FD5A-48A9-B1F2-45C757E358F8}">
      <text>
        <r>
          <rPr>
            <sz val="11"/>
            <color theme="1"/>
            <rFont val="맑은 고딕"/>
            <family val="2"/>
            <scheme val="minor"/>
          </rPr>
          <t>입력한 조회기준일(2025-12-31)이 조회되지 않아 이전 영업일(2025-12-30)로 조회하였습니다.</t>
        </r>
      </text>
    </comment>
    <comment ref="L4" authorId="0" shapeId="0" xr:uid="{7BACCE0E-A68D-4A3E-B0FA-AB7D4D9813F5}">
      <text>
        <r>
          <rPr>
            <sz val="11"/>
            <color theme="1"/>
            <rFont val="맑은 고딕"/>
            <family val="2"/>
            <scheme val="minor"/>
          </rPr>
          <t>입력한 조회기준일(2025-12-31)이 조회되지 않아 이전 영업일(2025-12-30)로 조회하였습니다.</t>
        </r>
      </text>
    </comment>
    <comment ref="U4" authorId="0" shapeId="0" xr:uid="{B5B4E132-F444-406D-8BA5-BA0267B6A4ED}">
      <text>
        <r>
          <rPr>
            <sz val="11"/>
            <color theme="1"/>
            <rFont val="맑은 고딕"/>
            <family val="2"/>
            <scheme val="minor"/>
          </rPr>
          <t>입력한 조회기준일(2025-12-31)이 조회되지 않아 이전 영업일(2025-12-30)로 조회하였습니다.</t>
        </r>
      </text>
    </comment>
    <comment ref="AD4" authorId="0" shapeId="0" xr:uid="{4DBA2B04-86B1-4104-A64B-E5D5F504F9AE}">
      <text>
        <r>
          <rPr>
            <sz val="11"/>
            <color theme="1"/>
            <rFont val="맑은 고딕"/>
            <family val="2"/>
            <scheme val="minor"/>
          </rPr>
          <t>입력한 조회기준일(2025-12-31)이 조회되지 않아 이전 영업일(2025-12-30)로 조회하였습니다.</t>
        </r>
      </text>
    </comment>
    <comment ref="AM4" authorId="0" shapeId="0" xr:uid="{85DDAD7E-3312-4FF8-8D74-653613E977D0}">
      <text>
        <r>
          <rPr>
            <sz val="11"/>
            <color theme="1"/>
            <rFont val="맑은 고딕"/>
            <family val="2"/>
            <scheme val="minor"/>
          </rPr>
          <t>입력한 조회기준일(2025-12-31)이 조회되지 않아 이전 영업일(2025-12-30)로 조회하였습니다.</t>
        </r>
      </text>
    </comment>
    <comment ref="AV4" authorId="0" shapeId="0" xr:uid="{98032E1E-C6E9-49E9-AAEC-E21BC1B5FE06}">
      <text>
        <r>
          <rPr>
            <sz val="11"/>
            <color theme="1"/>
            <rFont val="맑은 고딕"/>
            <family val="2"/>
            <scheme val="minor"/>
          </rPr>
          <t>입력한 조회기준일(2025-12-31)이 조회되지 않아 이전 영업일(2025-12-30)로 조회하였습니다.</t>
        </r>
      </text>
    </comment>
    <comment ref="BE4" authorId="0" shapeId="0" xr:uid="{28B23036-FAE0-4754-B959-A1ABEFC6C1D8}">
      <text>
        <r>
          <rPr>
            <sz val="11"/>
            <color theme="1"/>
            <rFont val="맑은 고딕"/>
            <family val="2"/>
            <scheme val="minor"/>
          </rPr>
          <t>입력한 조회기준일(2025-12-31)이 조회되지 않아 이전 영업일(2025-12-30)로 조회하였습니다.</t>
        </r>
      </text>
    </comment>
  </commentList>
</comments>
</file>

<file path=xl/sharedStrings.xml><?xml version="1.0" encoding="utf-8"?>
<sst xmlns="http://schemas.openxmlformats.org/spreadsheetml/2006/main" count="1428" uniqueCount="214">
  <si>
    <t>Input</t>
  </si>
  <si>
    <t>조회기준</t>
  </si>
  <si>
    <t>조회기준일</t>
  </si>
  <si>
    <t>조회영업일수</t>
  </si>
  <si>
    <t>조회기간</t>
  </si>
  <si>
    <t>조회대상유형</t>
  </si>
  <si>
    <t>조회대상</t>
  </si>
  <si>
    <t>회사명</t>
  </si>
  <si>
    <t>연환산일수</t>
  </si>
  <si>
    <t>일자</t>
  </si>
  <si>
    <t>2025-12-30</t>
  </si>
  <si>
    <t>-</t>
  </si>
  <si>
    <t>개별종목</t>
  </si>
  <si>
    <t>214420</t>
  </si>
  <si>
    <t>토니모리</t>
  </si>
  <si>
    <t>226320</t>
  </si>
  <si>
    <t>잇츠한불</t>
  </si>
  <si>
    <t>078520</t>
  </si>
  <si>
    <t>에이블씨엔씨</t>
  </si>
  <si>
    <t>018290</t>
  </si>
  <si>
    <t>브이티</t>
  </si>
  <si>
    <t>090430</t>
  </si>
  <si>
    <t>아모레퍼시픽</t>
  </si>
  <si>
    <t>027050</t>
  </si>
  <si>
    <t>코리아나</t>
  </si>
  <si>
    <t>123690</t>
  </si>
  <si>
    <t>한국화장품</t>
  </si>
  <si>
    <t>Output</t>
  </si>
  <si>
    <t>구분</t>
  </si>
  <si>
    <t>상장주식수</t>
  </si>
  <si>
    <t>주가</t>
  </si>
  <si>
    <t>단순 주가수익률</t>
  </si>
  <si>
    <t>연속복리 주가수익률</t>
  </si>
  <si>
    <t>주가수익률 변동의 표준편차</t>
  </si>
  <si>
    <t>연간변동성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</si>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</sst>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_-* #,##0.000000_-;\-* #,##0.00000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DBDBDB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2" fillId="2" borderId="0" xfId="1" applyFont="1" applyFill="1"/>
    <xf numFmtId="0" fontId="4" fillId="2" borderId="0" xfId="1" applyFont="1" applyFill="1"/>
    <xf numFmtId="0" fontId="4" fillId="0" borderId="0" xfId="1" applyFont="1"/>
    <xf numFmtId="0" fontId="2" fillId="3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76" fontId="4" fillId="4" borderId="1" xfId="1" applyNumberFormat="1" applyFont="1" applyFill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3" fontId="4" fillId="0" borderId="1" xfId="1" applyNumberFormat="1" applyFont="1" applyBorder="1" applyAlignment="1">
      <alignment horizontal="center" vertical="center"/>
    </xf>
    <xf numFmtId="4" fontId="4" fillId="0" borderId="1" xfId="1" applyNumberFormat="1" applyFont="1" applyBorder="1" applyAlignment="1">
      <alignment horizontal="center" vertical="center"/>
    </xf>
    <xf numFmtId="177" fontId="4" fillId="0" borderId="1" xfId="1" applyNumberFormat="1" applyFont="1" applyBorder="1" applyAlignment="1">
      <alignment horizontal="center" vertical="center"/>
    </xf>
    <xf numFmtId="10" fontId="4" fillId="0" borderId="1" xfId="1" applyNumberFormat="1" applyFont="1" applyBorder="1" applyAlignment="1">
      <alignment horizontal="center" vertical="center"/>
    </xf>
  </cellXfs>
  <cellStyles count="2">
    <cellStyle name="표준" xfId="0" builtinId="0"/>
    <cellStyle name="표준 2" xfId="1" xr:uid="{C7369704-926C-4FE4-A4D4-7A83844EF3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PwC Burgundy">
      <a:dk1>
        <a:srgbClr val="000000"/>
      </a:dk1>
      <a:lt1>
        <a:srgbClr val="FFFFFF"/>
      </a:lt1>
      <a:dk2>
        <a:srgbClr val="A32020"/>
      </a:dk2>
      <a:lt2>
        <a:srgbClr val="FFFFFF"/>
      </a:lt2>
      <a:accent1>
        <a:srgbClr val="A32020"/>
      </a:accent1>
      <a:accent2>
        <a:srgbClr val="E0301E"/>
      </a:accent2>
      <a:accent3>
        <a:srgbClr val="602320"/>
      </a:accent3>
      <a:accent4>
        <a:srgbClr val="DB536A"/>
      </a:accent4>
      <a:accent5>
        <a:srgbClr val="DC6900"/>
      </a:accent5>
      <a:accent6>
        <a:srgbClr val="FFB600"/>
      </a:accent6>
      <a:hlink>
        <a:srgbClr val="A32020"/>
      </a:hlink>
      <a:folHlink>
        <a:srgbClr val="A3202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46A71-F874-4203-870A-FCE3A08C0416}">
  <dimension ref="B1:BK188"/>
  <sheetViews>
    <sheetView showGridLines="0" tabSelected="1" zoomScale="85" workbookViewId="0">
      <pane ySplit="8" topLeftCell="A9" activePane="bottomLeft" state="frozen"/>
      <selection activeCell="G16" sqref="G16"/>
      <selection pane="bottomLeft" activeCell="H17" sqref="H17"/>
    </sheetView>
  </sheetViews>
  <sheetFormatPr defaultColWidth="8.69921875" defaultRowHeight="17.399999999999999" x14ac:dyDescent="0.4"/>
  <cols>
    <col min="1" max="1" width="4" style="3" customWidth="1"/>
    <col min="2" max="2" width="9" style="3" customWidth="1"/>
    <col min="3" max="3" width="11" style="3" customWidth="1"/>
    <col min="4" max="4" width="13" style="3" customWidth="1"/>
    <col min="5" max="5" width="9" style="3" customWidth="1"/>
    <col min="6" max="6" width="16" style="3" customWidth="1"/>
    <col min="7" max="7" width="20" style="3" customWidth="1"/>
    <col min="8" max="8" width="27" style="3" customWidth="1"/>
    <col min="9" max="9" width="11" style="3" customWidth="1"/>
    <col min="10" max="10" width="8.69921875" style="3"/>
    <col min="11" max="11" width="9" style="3" customWidth="1"/>
    <col min="12" max="12" width="11" style="3" customWidth="1"/>
    <col min="13" max="13" width="13" style="3" customWidth="1"/>
    <col min="14" max="14" width="9" style="3" customWidth="1"/>
    <col min="15" max="15" width="16" style="3" customWidth="1"/>
    <col min="16" max="16" width="20" style="3" customWidth="1"/>
    <col min="17" max="17" width="27" style="3" customWidth="1"/>
    <col min="18" max="18" width="11" style="3" customWidth="1"/>
    <col min="19" max="19" width="8.69921875" style="3"/>
    <col min="20" max="20" width="9" style="3" customWidth="1"/>
    <col min="21" max="21" width="11" style="3" customWidth="1"/>
    <col min="22" max="22" width="13" style="3" customWidth="1"/>
    <col min="23" max="23" width="9" style="3" customWidth="1"/>
    <col min="24" max="24" width="16" style="3" customWidth="1"/>
    <col min="25" max="25" width="20" style="3" customWidth="1"/>
    <col min="26" max="26" width="27" style="3" customWidth="1"/>
    <col min="27" max="27" width="11" style="3" customWidth="1"/>
    <col min="28" max="28" width="8.69921875" style="3"/>
    <col min="29" max="29" width="9" style="3" customWidth="1"/>
    <col min="30" max="30" width="11" style="3" customWidth="1"/>
    <col min="31" max="31" width="13" style="3" customWidth="1"/>
    <col min="32" max="32" width="9" style="3" customWidth="1"/>
    <col min="33" max="33" width="16" style="3" customWidth="1"/>
    <col min="34" max="34" width="20" style="3" customWidth="1"/>
    <col min="35" max="35" width="27" style="3" customWidth="1"/>
    <col min="36" max="36" width="11" style="3" customWidth="1"/>
    <col min="37" max="37" width="8.69921875" style="3"/>
    <col min="38" max="38" width="9" style="3" customWidth="1"/>
    <col min="39" max="39" width="11" style="3" customWidth="1"/>
    <col min="40" max="40" width="13" style="3" customWidth="1"/>
    <col min="41" max="41" width="10" style="3" customWidth="1"/>
    <col min="42" max="42" width="16" style="3" customWidth="1"/>
    <col min="43" max="43" width="20" style="3" customWidth="1"/>
    <col min="44" max="44" width="27" style="3" customWidth="1"/>
    <col min="45" max="45" width="11" style="3" customWidth="1"/>
    <col min="46" max="46" width="8.69921875" style="3"/>
    <col min="47" max="47" width="9" style="3" customWidth="1"/>
    <col min="48" max="48" width="11" style="3" customWidth="1"/>
    <col min="49" max="49" width="13" style="3" customWidth="1"/>
    <col min="50" max="50" width="9" style="3" customWidth="1"/>
    <col min="51" max="51" width="16" style="3" customWidth="1"/>
    <col min="52" max="52" width="20" style="3" customWidth="1"/>
    <col min="53" max="53" width="27" style="3" customWidth="1"/>
    <col min="54" max="54" width="11" style="3" customWidth="1"/>
    <col min="55" max="55" width="8.69921875" style="3"/>
    <col min="56" max="56" width="9" style="3" customWidth="1"/>
    <col min="57" max="57" width="11" style="3" customWidth="1"/>
    <col min="58" max="58" width="13" style="3" customWidth="1"/>
    <col min="59" max="59" width="9" style="3" customWidth="1"/>
    <col min="60" max="60" width="16" style="3" customWidth="1"/>
    <col min="61" max="61" width="20" style="3" customWidth="1"/>
    <col min="62" max="62" width="27" style="3" customWidth="1"/>
    <col min="63" max="63" width="11" style="3" customWidth="1"/>
    <col min="64" max="16384" width="8.69921875" style="3"/>
  </cols>
  <sheetData>
    <row r="1" spans="2:63" x14ac:dyDescent="0.4">
      <c r="B1" s="1" t="s">
        <v>0</v>
      </c>
      <c r="C1" s="2"/>
      <c r="D1" s="2"/>
      <c r="E1" s="2"/>
      <c r="F1" s="2"/>
      <c r="G1" s="2"/>
      <c r="H1" s="2"/>
      <c r="I1" s="2"/>
      <c r="K1" s="1" t="s">
        <v>0</v>
      </c>
      <c r="L1" s="2"/>
      <c r="M1" s="2"/>
      <c r="N1" s="2"/>
      <c r="O1" s="2"/>
      <c r="P1" s="2"/>
      <c r="Q1" s="2"/>
      <c r="R1" s="2"/>
      <c r="T1" s="1" t="s">
        <v>0</v>
      </c>
      <c r="U1" s="2"/>
      <c r="V1" s="2"/>
      <c r="W1" s="2"/>
      <c r="X1" s="2"/>
      <c r="Y1" s="2"/>
      <c r="Z1" s="2"/>
      <c r="AA1" s="2"/>
      <c r="AC1" s="1" t="s">
        <v>0</v>
      </c>
      <c r="AD1" s="2"/>
      <c r="AE1" s="2"/>
      <c r="AF1" s="2"/>
      <c r="AG1" s="2"/>
      <c r="AH1" s="2"/>
      <c r="AI1" s="2"/>
      <c r="AJ1" s="2"/>
      <c r="AL1" s="1" t="s">
        <v>0</v>
      </c>
      <c r="AM1" s="2"/>
      <c r="AN1" s="2"/>
      <c r="AO1" s="2"/>
      <c r="AP1" s="2"/>
      <c r="AQ1" s="2"/>
      <c r="AR1" s="2"/>
      <c r="AS1" s="2"/>
      <c r="AU1" s="1" t="s">
        <v>0</v>
      </c>
      <c r="AV1" s="2"/>
      <c r="AW1" s="2"/>
      <c r="AX1" s="2"/>
      <c r="AY1" s="2"/>
      <c r="AZ1" s="2"/>
      <c r="BA1" s="2"/>
      <c r="BB1" s="2"/>
      <c r="BD1" s="1" t="s">
        <v>0</v>
      </c>
      <c r="BE1" s="2"/>
      <c r="BF1" s="2"/>
      <c r="BG1" s="2"/>
      <c r="BH1" s="2"/>
      <c r="BI1" s="2"/>
      <c r="BJ1" s="2"/>
      <c r="BK1" s="2"/>
    </row>
    <row r="3" spans="2:63" x14ac:dyDescent="0.4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K3" s="4" t="s">
        <v>1</v>
      </c>
      <c r="L3" s="4" t="s">
        <v>2</v>
      </c>
      <c r="M3" s="4" t="s">
        <v>3</v>
      </c>
      <c r="N3" s="4" t="s">
        <v>4</v>
      </c>
      <c r="O3" s="4" t="s">
        <v>5</v>
      </c>
      <c r="P3" s="4" t="s">
        <v>6</v>
      </c>
      <c r="Q3" s="4" t="s">
        <v>7</v>
      </c>
      <c r="R3" s="4" t="s">
        <v>8</v>
      </c>
      <c r="T3" s="4" t="s">
        <v>1</v>
      </c>
      <c r="U3" s="4" t="s">
        <v>2</v>
      </c>
      <c r="V3" s="4" t="s">
        <v>3</v>
      </c>
      <c r="W3" s="4" t="s">
        <v>4</v>
      </c>
      <c r="X3" s="4" t="s">
        <v>5</v>
      </c>
      <c r="Y3" s="4" t="s">
        <v>6</v>
      </c>
      <c r="Z3" s="4" t="s">
        <v>7</v>
      </c>
      <c r="AA3" s="4" t="s">
        <v>8</v>
      </c>
      <c r="AC3" s="4" t="s">
        <v>1</v>
      </c>
      <c r="AD3" s="4" t="s">
        <v>2</v>
      </c>
      <c r="AE3" s="4" t="s">
        <v>3</v>
      </c>
      <c r="AF3" s="4" t="s">
        <v>4</v>
      </c>
      <c r="AG3" s="4" t="s">
        <v>5</v>
      </c>
      <c r="AH3" s="4" t="s">
        <v>6</v>
      </c>
      <c r="AI3" s="4" t="s">
        <v>7</v>
      </c>
      <c r="AJ3" s="4" t="s">
        <v>8</v>
      </c>
      <c r="AL3" s="4" t="s">
        <v>1</v>
      </c>
      <c r="AM3" s="4" t="s">
        <v>2</v>
      </c>
      <c r="AN3" s="4" t="s">
        <v>3</v>
      </c>
      <c r="AO3" s="4" t="s">
        <v>4</v>
      </c>
      <c r="AP3" s="4" t="s">
        <v>5</v>
      </c>
      <c r="AQ3" s="4" t="s">
        <v>6</v>
      </c>
      <c r="AR3" s="4" t="s">
        <v>7</v>
      </c>
      <c r="AS3" s="4" t="s">
        <v>8</v>
      </c>
      <c r="AU3" s="4" t="s">
        <v>1</v>
      </c>
      <c r="AV3" s="4" t="s">
        <v>2</v>
      </c>
      <c r="AW3" s="4" t="s">
        <v>3</v>
      </c>
      <c r="AX3" s="4" t="s">
        <v>4</v>
      </c>
      <c r="AY3" s="4" t="s">
        <v>5</v>
      </c>
      <c r="AZ3" s="4" t="s">
        <v>6</v>
      </c>
      <c r="BA3" s="4" t="s">
        <v>7</v>
      </c>
      <c r="BB3" s="4" t="s">
        <v>8</v>
      </c>
      <c r="BD3" s="4" t="s">
        <v>1</v>
      </c>
      <c r="BE3" s="4" t="s">
        <v>2</v>
      </c>
      <c r="BF3" s="4" t="s">
        <v>3</v>
      </c>
      <c r="BG3" s="4" t="s">
        <v>4</v>
      </c>
      <c r="BH3" s="4" t="s">
        <v>5</v>
      </c>
      <c r="BI3" s="4" t="s">
        <v>6</v>
      </c>
      <c r="BJ3" s="4" t="s">
        <v>7</v>
      </c>
      <c r="BK3" s="4" t="s">
        <v>8</v>
      </c>
    </row>
    <row r="4" spans="2:63" x14ac:dyDescent="0.4">
      <c r="B4" s="5" t="s">
        <v>9</v>
      </c>
      <c r="C4" s="6" t="s">
        <v>10</v>
      </c>
      <c r="D4" s="5">
        <v>180</v>
      </c>
      <c r="E4" s="5" t="s">
        <v>11</v>
      </c>
      <c r="F4" s="5" t="s">
        <v>12</v>
      </c>
      <c r="G4" s="5" t="s">
        <v>13</v>
      </c>
      <c r="H4" s="5" t="s">
        <v>14</v>
      </c>
      <c r="I4" s="5">
        <v>250</v>
      </c>
      <c r="K4" s="5" t="s">
        <v>9</v>
      </c>
      <c r="L4" s="6" t="s">
        <v>10</v>
      </c>
      <c r="M4" s="5">
        <v>180</v>
      </c>
      <c r="N4" s="5" t="s">
        <v>11</v>
      </c>
      <c r="O4" s="5" t="s">
        <v>12</v>
      </c>
      <c r="P4" s="5" t="s">
        <v>15</v>
      </c>
      <c r="Q4" s="5" t="s">
        <v>16</v>
      </c>
      <c r="R4" s="5">
        <v>250</v>
      </c>
      <c r="T4" s="5" t="s">
        <v>9</v>
      </c>
      <c r="U4" s="6" t="s">
        <v>10</v>
      </c>
      <c r="V4" s="5">
        <v>180</v>
      </c>
      <c r="W4" s="5" t="s">
        <v>11</v>
      </c>
      <c r="X4" s="5" t="s">
        <v>12</v>
      </c>
      <c r="Y4" s="5" t="s">
        <v>17</v>
      </c>
      <c r="Z4" s="5" t="s">
        <v>18</v>
      </c>
      <c r="AA4" s="5">
        <v>250</v>
      </c>
      <c r="AC4" s="5" t="s">
        <v>9</v>
      </c>
      <c r="AD4" s="6" t="s">
        <v>10</v>
      </c>
      <c r="AE4" s="5">
        <v>180</v>
      </c>
      <c r="AF4" s="5" t="s">
        <v>11</v>
      </c>
      <c r="AG4" s="5" t="s">
        <v>12</v>
      </c>
      <c r="AH4" s="5" t="s">
        <v>19</v>
      </c>
      <c r="AI4" s="5" t="s">
        <v>20</v>
      </c>
      <c r="AJ4" s="5">
        <v>250</v>
      </c>
      <c r="AL4" s="5" t="s">
        <v>9</v>
      </c>
      <c r="AM4" s="6" t="s">
        <v>10</v>
      </c>
      <c r="AN4" s="5">
        <v>180</v>
      </c>
      <c r="AO4" s="5" t="s">
        <v>11</v>
      </c>
      <c r="AP4" s="5" t="s">
        <v>12</v>
      </c>
      <c r="AQ4" s="5" t="s">
        <v>21</v>
      </c>
      <c r="AR4" s="5" t="s">
        <v>22</v>
      </c>
      <c r="AS4" s="5">
        <v>250</v>
      </c>
      <c r="AU4" s="5" t="s">
        <v>9</v>
      </c>
      <c r="AV4" s="6" t="s">
        <v>10</v>
      </c>
      <c r="AW4" s="5">
        <v>180</v>
      </c>
      <c r="AX4" s="5" t="s">
        <v>11</v>
      </c>
      <c r="AY4" s="5" t="s">
        <v>12</v>
      </c>
      <c r="AZ4" s="5" t="s">
        <v>23</v>
      </c>
      <c r="BA4" s="5" t="s">
        <v>24</v>
      </c>
      <c r="BB4" s="5">
        <v>250</v>
      </c>
      <c r="BD4" s="5" t="s">
        <v>9</v>
      </c>
      <c r="BE4" s="6" t="s">
        <v>10</v>
      </c>
      <c r="BF4" s="5">
        <v>180</v>
      </c>
      <c r="BG4" s="5" t="s">
        <v>11</v>
      </c>
      <c r="BH4" s="5" t="s">
        <v>12</v>
      </c>
      <c r="BI4" s="5" t="s">
        <v>25</v>
      </c>
      <c r="BJ4" s="5" t="s">
        <v>26</v>
      </c>
      <c r="BK4" s="5">
        <v>250</v>
      </c>
    </row>
    <row r="6" spans="2:63" x14ac:dyDescent="0.4">
      <c r="B6" s="1" t="s">
        <v>27</v>
      </c>
      <c r="C6" s="2"/>
      <c r="D6" s="2"/>
      <c r="E6" s="2"/>
      <c r="F6" s="2"/>
      <c r="G6" s="2"/>
      <c r="H6" s="2"/>
      <c r="I6" s="2"/>
      <c r="K6" s="1" t="s">
        <v>27</v>
      </c>
      <c r="L6" s="2"/>
      <c r="M6" s="2"/>
      <c r="N6" s="2"/>
      <c r="O6" s="2"/>
      <c r="P6" s="2"/>
      <c r="Q6" s="2"/>
      <c r="R6" s="2"/>
      <c r="T6" s="1" t="s">
        <v>27</v>
      </c>
      <c r="U6" s="2"/>
      <c r="V6" s="2"/>
      <c r="W6" s="2"/>
      <c r="X6" s="2"/>
      <c r="Y6" s="2"/>
      <c r="Z6" s="2"/>
      <c r="AA6" s="2"/>
      <c r="AC6" s="1" t="s">
        <v>27</v>
      </c>
      <c r="AD6" s="2"/>
      <c r="AE6" s="2"/>
      <c r="AF6" s="2"/>
      <c r="AG6" s="2"/>
      <c r="AH6" s="2"/>
      <c r="AI6" s="2"/>
      <c r="AJ6" s="2"/>
      <c r="AL6" s="1" t="s">
        <v>27</v>
      </c>
      <c r="AM6" s="2"/>
      <c r="AN6" s="2"/>
      <c r="AO6" s="2"/>
      <c r="AP6" s="2"/>
      <c r="AQ6" s="2"/>
      <c r="AR6" s="2"/>
      <c r="AS6" s="2"/>
      <c r="AU6" s="1" t="s">
        <v>27</v>
      </c>
      <c r="AV6" s="2"/>
      <c r="AW6" s="2"/>
      <c r="AX6" s="2"/>
      <c r="AY6" s="2"/>
      <c r="AZ6" s="2"/>
      <c r="BA6" s="2"/>
      <c r="BB6" s="2"/>
      <c r="BD6" s="1" t="s">
        <v>27</v>
      </c>
      <c r="BE6" s="2"/>
      <c r="BF6" s="2"/>
      <c r="BG6" s="2"/>
      <c r="BH6" s="2"/>
      <c r="BI6" s="2"/>
      <c r="BJ6" s="2"/>
      <c r="BK6" s="2"/>
    </row>
    <row r="8" spans="2:63" x14ac:dyDescent="0.4">
      <c r="B8" s="4" t="s">
        <v>28</v>
      </c>
      <c r="C8" s="4" t="s">
        <v>9</v>
      </c>
      <c r="D8" s="4" t="s">
        <v>29</v>
      </c>
      <c r="E8" s="4" t="s">
        <v>30</v>
      </c>
      <c r="F8" s="4" t="s">
        <v>31</v>
      </c>
      <c r="G8" s="4" t="s">
        <v>32</v>
      </c>
      <c r="H8" s="4" t="s">
        <v>33</v>
      </c>
      <c r="I8" s="4" t="s">
        <v>34</v>
      </c>
      <c r="K8" s="4" t="s">
        <v>28</v>
      </c>
      <c r="L8" s="4" t="s">
        <v>9</v>
      </c>
      <c r="M8" s="4" t="s">
        <v>29</v>
      </c>
      <c r="N8" s="4" t="s">
        <v>30</v>
      </c>
      <c r="O8" s="4" t="s">
        <v>31</v>
      </c>
      <c r="P8" s="4" t="s">
        <v>32</v>
      </c>
      <c r="Q8" s="4" t="s">
        <v>33</v>
      </c>
      <c r="R8" s="4" t="s">
        <v>34</v>
      </c>
      <c r="T8" s="4" t="s">
        <v>28</v>
      </c>
      <c r="U8" s="4" t="s">
        <v>9</v>
      </c>
      <c r="V8" s="4" t="s">
        <v>29</v>
      </c>
      <c r="W8" s="4" t="s">
        <v>30</v>
      </c>
      <c r="X8" s="4" t="s">
        <v>31</v>
      </c>
      <c r="Y8" s="4" t="s">
        <v>32</v>
      </c>
      <c r="Z8" s="4" t="s">
        <v>33</v>
      </c>
      <c r="AA8" s="4" t="s">
        <v>34</v>
      </c>
      <c r="AC8" s="4" t="s">
        <v>28</v>
      </c>
      <c r="AD8" s="4" t="s">
        <v>9</v>
      </c>
      <c r="AE8" s="4" t="s">
        <v>29</v>
      </c>
      <c r="AF8" s="4" t="s">
        <v>30</v>
      </c>
      <c r="AG8" s="4" t="s">
        <v>31</v>
      </c>
      <c r="AH8" s="4" t="s">
        <v>32</v>
      </c>
      <c r="AI8" s="4" t="s">
        <v>33</v>
      </c>
      <c r="AJ8" s="4" t="s">
        <v>34</v>
      </c>
      <c r="AL8" s="4" t="s">
        <v>28</v>
      </c>
      <c r="AM8" s="4" t="s">
        <v>9</v>
      </c>
      <c r="AN8" s="4" t="s">
        <v>29</v>
      </c>
      <c r="AO8" s="4" t="s">
        <v>30</v>
      </c>
      <c r="AP8" s="4" t="s">
        <v>31</v>
      </c>
      <c r="AQ8" s="4" t="s">
        <v>32</v>
      </c>
      <c r="AR8" s="4" t="s">
        <v>33</v>
      </c>
      <c r="AS8" s="4" t="s">
        <v>34</v>
      </c>
      <c r="AU8" s="4" t="s">
        <v>28</v>
      </c>
      <c r="AV8" s="4" t="s">
        <v>9</v>
      </c>
      <c r="AW8" s="4" t="s">
        <v>29</v>
      </c>
      <c r="AX8" s="4" t="s">
        <v>30</v>
      </c>
      <c r="AY8" s="4" t="s">
        <v>31</v>
      </c>
      <c r="AZ8" s="4" t="s">
        <v>32</v>
      </c>
      <c r="BA8" s="4" t="s">
        <v>33</v>
      </c>
      <c r="BB8" s="4" t="s">
        <v>34</v>
      </c>
      <c r="BD8" s="4" t="s">
        <v>28</v>
      </c>
      <c r="BE8" s="4" t="s">
        <v>9</v>
      </c>
      <c r="BF8" s="4" t="s">
        <v>29</v>
      </c>
      <c r="BG8" s="4" t="s">
        <v>30</v>
      </c>
      <c r="BH8" s="4" t="s">
        <v>31</v>
      </c>
      <c r="BI8" s="4" t="s">
        <v>32</v>
      </c>
      <c r="BJ8" s="4" t="s">
        <v>33</v>
      </c>
      <c r="BK8" s="4" t="s">
        <v>34</v>
      </c>
    </row>
    <row r="9" spans="2:63" x14ac:dyDescent="0.4">
      <c r="B9" s="5">
        <v>1</v>
      </c>
      <c r="C9" s="7" t="s">
        <v>10</v>
      </c>
      <c r="D9" s="8">
        <v>24054799</v>
      </c>
      <c r="E9" s="9">
        <v>8390</v>
      </c>
      <c r="F9" s="10">
        <f t="shared" ref="F9:F72" si="0">(E9/E10)-1</f>
        <v>1.1933174224343368E-3</v>
      </c>
      <c r="G9" s="10">
        <f t="shared" ref="G9:G72" si="1">LN(E9/E10)</f>
        <v>1.1926059851231061E-3</v>
      </c>
      <c r="H9" s="11">
        <f>STDEV(G9:G187)</f>
        <v>3.0782599178456028E-2</v>
      </c>
      <c r="I9" s="11">
        <f>H9*SQRT(I4)</f>
        <v>0.48671562851974504</v>
      </c>
      <c r="K9" s="5">
        <v>1</v>
      </c>
      <c r="L9" s="7" t="s">
        <v>10</v>
      </c>
      <c r="M9" s="8">
        <v>21929315</v>
      </c>
      <c r="N9" s="9">
        <v>11120</v>
      </c>
      <c r="O9" s="10">
        <f t="shared" ref="O9:O72" si="2">(N9/N10)-1</f>
        <v>-6.2555853440572351E-3</v>
      </c>
      <c r="P9" s="10">
        <f t="shared" ref="P9:P72" si="3">LN(N9/N10)</f>
        <v>-6.2752335013975891E-3</v>
      </c>
      <c r="Q9" s="11">
        <f>STDEV(P9:P187)</f>
        <v>1.9246515798699317E-2</v>
      </c>
      <c r="R9" s="11">
        <f>Q9*SQRT(R4)</f>
        <v>0.30431413473152313</v>
      </c>
      <c r="T9" s="5">
        <v>1</v>
      </c>
      <c r="U9" s="7" t="s">
        <v>10</v>
      </c>
      <c r="V9" s="8">
        <v>26014161</v>
      </c>
      <c r="W9" s="9">
        <v>10470</v>
      </c>
      <c r="X9" s="10">
        <f t="shared" ref="X9:X72" si="4">(W9/W10)-1</f>
        <v>1.7492711370262315E-2</v>
      </c>
      <c r="Y9" s="10">
        <f t="shared" ref="Y9:Y72" si="5">LN(W9/W10)</f>
        <v>1.7341475036487173E-2</v>
      </c>
      <c r="Z9" s="11">
        <f>STDEV(Y9:Y187)</f>
        <v>4.0380963825721955E-2</v>
      </c>
      <c r="AA9" s="11">
        <f>Z9*SQRT(AA4)</f>
        <v>0.63847909901073996</v>
      </c>
      <c r="AC9" s="5">
        <v>1</v>
      </c>
      <c r="AD9" s="7" t="s">
        <v>10</v>
      </c>
      <c r="AE9" s="8">
        <v>34941838</v>
      </c>
      <c r="AF9" s="9">
        <v>17510</v>
      </c>
      <c r="AG9" s="10">
        <f t="shared" ref="AG9:AG72" si="6">(AF9/AF10)-1</f>
        <v>-1.7396184062850706E-2</v>
      </c>
      <c r="AH9" s="10">
        <f t="shared" ref="AH9:AH72" si="7">LN(AF9/AF10)</f>
        <v>-1.7549275744902743E-2</v>
      </c>
      <c r="AI9" s="11">
        <f>STDEV(AH9:AH187)</f>
        <v>2.6895544426468989E-2</v>
      </c>
      <c r="AJ9" s="11">
        <f>AI9*SQRT(AJ4)</f>
        <v>0.42525589648944523</v>
      </c>
      <c r="AL9" s="5">
        <v>1</v>
      </c>
      <c r="AM9" s="7" t="s">
        <v>10</v>
      </c>
      <c r="AN9" s="8">
        <v>58492759</v>
      </c>
      <c r="AO9" s="9">
        <v>119500</v>
      </c>
      <c r="AP9" s="10">
        <f t="shared" ref="AP9:AP72" si="8">(AO9/AO10)-1</f>
        <v>-1.6708437761069339E-3</v>
      </c>
      <c r="AQ9" s="10">
        <f t="shared" ref="AQ9:AQ72" si="9">LN(AO9/AO10)</f>
        <v>-1.6722411923621062E-3</v>
      </c>
      <c r="AR9" s="11">
        <f>STDEV(AQ9:AQ187)</f>
        <v>1.9870938238305453E-2</v>
      </c>
      <c r="AS9" s="11">
        <f>AR9*SQRT(AS4)</f>
        <v>0.3141871203878947</v>
      </c>
      <c r="AU9" s="5">
        <v>1</v>
      </c>
      <c r="AV9" s="7" t="s">
        <v>10</v>
      </c>
      <c r="AW9" s="8">
        <v>40000000</v>
      </c>
      <c r="AX9" s="9">
        <v>2310</v>
      </c>
      <c r="AY9" s="10">
        <f t="shared" ref="AY9:AY72" si="10">(AX9/AX10)-1</f>
        <v>1.3157894736842035E-2</v>
      </c>
      <c r="AZ9" s="10">
        <f t="shared" ref="AZ9:AZ72" si="11">LN(AX9/AX10)</f>
        <v>1.3072081567352701E-2</v>
      </c>
      <c r="BA9" s="11">
        <f>STDEV(AZ9:AZ187)</f>
        <v>2.9144621618882476E-2</v>
      </c>
      <c r="BB9" s="11">
        <f>BA9*SQRT(BB4)</f>
        <v>0.4608169292972622</v>
      </c>
      <c r="BD9" s="5">
        <v>1</v>
      </c>
      <c r="BE9" s="7" t="s">
        <v>10</v>
      </c>
      <c r="BF9" s="8">
        <v>16068000</v>
      </c>
      <c r="BG9" s="9">
        <v>10040</v>
      </c>
      <c r="BH9" s="10">
        <f t="shared" ref="BH9:BH72" si="12">(BG9/BG10)-1</f>
        <v>2.4489795918367419E-2</v>
      </c>
      <c r="BI9" s="10">
        <f t="shared" ref="BI9:BI72" si="13">LN(BG9/BG10)</f>
        <v>2.4194728587056971E-2</v>
      </c>
      <c r="BJ9" s="11">
        <f>STDEV(BI9:BI187)</f>
        <v>3.9043192437799669E-2</v>
      </c>
      <c r="BK9" s="11">
        <f>BJ9*SQRT(BK4)</f>
        <v>0.61732707613854443</v>
      </c>
    </row>
    <row r="10" spans="2:63" x14ac:dyDescent="0.4">
      <c r="B10" s="5">
        <v>2</v>
      </c>
      <c r="C10" s="7" t="s">
        <v>35</v>
      </c>
      <c r="D10" s="8">
        <v>24054799</v>
      </c>
      <c r="E10" s="9">
        <v>8380</v>
      </c>
      <c r="F10" s="10">
        <f t="shared" si="0"/>
        <v>1.8226002430133725E-2</v>
      </c>
      <c r="G10" s="10">
        <f t="shared" si="1"/>
        <v>1.8061899805013295E-2</v>
      </c>
      <c r="K10" s="5">
        <v>2</v>
      </c>
      <c r="L10" s="7" t="s">
        <v>35</v>
      </c>
      <c r="M10" s="8">
        <v>21929315</v>
      </c>
      <c r="N10" s="9">
        <v>11190</v>
      </c>
      <c r="O10" s="10">
        <f t="shared" si="2"/>
        <v>-1.4096916299559448E-2</v>
      </c>
      <c r="P10" s="10">
        <f t="shared" si="3"/>
        <v>-1.4197221603577793E-2</v>
      </c>
      <c r="T10" s="5">
        <v>2</v>
      </c>
      <c r="U10" s="7" t="s">
        <v>35</v>
      </c>
      <c r="V10" s="8">
        <v>26014161</v>
      </c>
      <c r="W10" s="9">
        <v>10290</v>
      </c>
      <c r="X10" s="10">
        <f t="shared" si="4"/>
        <v>-2.0932445290199775E-2</v>
      </c>
      <c r="Y10" s="10">
        <f t="shared" si="5"/>
        <v>-2.1154635042901482E-2</v>
      </c>
      <c r="AC10" s="5">
        <v>2</v>
      </c>
      <c r="AD10" s="7" t="s">
        <v>35</v>
      </c>
      <c r="AE10" s="8">
        <v>34941838</v>
      </c>
      <c r="AF10" s="9">
        <v>17820</v>
      </c>
      <c r="AG10" s="10">
        <f t="shared" si="6"/>
        <v>3.3043478260869508E-2</v>
      </c>
      <c r="AH10" s="10">
        <f t="shared" si="7"/>
        <v>3.2509278565294432E-2</v>
      </c>
      <c r="AL10" s="5">
        <v>2</v>
      </c>
      <c r="AM10" s="7" t="s">
        <v>35</v>
      </c>
      <c r="AN10" s="8">
        <v>58492759</v>
      </c>
      <c r="AO10" s="9">
        <v>119700</v>
      </c>
      <c r="AP10" s="10">
        <f t="shared" si="8"/>
        <v>6.728343145500526E-3</v>
      </c>
      <c r="AQ10" s="10">
        <f t="shared" si="9"/>
        <v>6.7058088671914217E-3</v>
      </c>
      <c r="AU10" s="5">
        <v>2</v>
      </c>
      <c r="AV10" s="7" t="s">
        <v>35</v>
      </c>
      <c r="AW10" s="8">
        <v>40000000</v>
      </c>
      <c r="AX10" s="9">
        <v>2280</v>
      </c>
      <c r="AY10" s="10">
        <f t="shared" si="10"/>
        <v>1.3333333333333419E-2</v>
      </c>
      <c r="AZ10" s="10">
        <f t="shared" si="11"/>
        <v>1.3245226750020723E-2</v>
      </c>
      <c r="BD10" s="5">
        <v>2</v>
      </c>
      <c r="BE10" s="7" t="s">
        <v>35</v>
      </c>
      <c r="BF10" s="8">
        <v>16068000</v>
      </c>
      <c r="BG10" s="9">
        <v>9800</v>
      </c>
      <c r="BH10" s="10">
        <f t="shared" si="12"/>
        <v>2.6178010471204161E-2</v>
      </c>
      <c r="BI10" s="10">
        <f t="shared" si="13"/>
        <v>2.5841231183887328E-2</v>
      </c>
    </row>
    <row r="11" spans="2:63" x14ac:dyDescent="0.4">
      <c r="B11" s="5">
        <v>3</v>
      </c>
      <c r="C11" s="7" t="s">
        <v>36</v>
      </c>
      <c r="D11" s="8">
        <v>24054799</v>
      </c>
      <c r="E11" s="9">
        <v>8230</v>
      </c>
      <c r="F11" s="10">
        <f t="shared" si="0"/>
        <v>-3.6319612590799411E-3</v>
      </c>
      <c r="G11" s="10">
        <f t="shared" si="1"/>
        <v>-3.6385728439082914E-3</v>
      </c>
      <c r="K11" s="5">
        <v>3</v>
      </c>
      <c r="L11" s="7" t="s">
        <v>36</v>
      </c>
      <c r="M11" s="8">
        <v>21929315</v>
      </c>
      <c r="N11" s="9">
        <v>11350</v>
      </c>
      <c r="O11" s="10">
        <f t="shared" si="2"/>
        <v>-8.8028169014087165E-4</v>
      </c>
      <c r="P11" s="10">
        <f t="shared" si="3"/>
        <v>-8.8066936559363603E-4</v>
      </c>
      <c r="T11" s="5">
        <v>3</v>
      </c>
      <c r="U11" s="7" t="s">
        <v>36</v>
      </c>
      <c r="V11" s="8">
        <v>26014161</v>
      </c>
      <c r="W11" s="9">
        <v>10510</v>
      </c>
      <c r="X11" s="10">
        <f t="shared" si="4"/>
        <v>-3.3118675252989838E-2</v>
      </c>
      <c r="Y11" s="10">
        <f t="shared" si="5"/>
        <v>-3.3679516244258273E-2</v>
      </c>
      <c r="AC11" s="5">
        <v>3</v>
      </c>
      <c r="AD11" s="7" t="s">
        <v>36</v>
      </c>
      <c r="AE11" s="8">
        <v>34941838</v>
      </c>
      <c r="AF11" s="9">
        <v>17250</v>
      </c>
      <c r="AG11" s="10">
        <f t="shared" si="6"/>
        <v>-2.6523702031602703E-2</v>
      </c>
      <c r="AH11" s="10">
        <f t="shared" si="7"/>
        <v>-2.6881801699566121E-2</v>
      </c>
      <c r="AL11" s="5">
        <v>3</v>
      </c>
      <c r="AM11" s="7" t="s">
        <v>36</v>
      </c>
      <c r="AN11" s="8">
        <v>58492759</v>
      </c>
      <c r="AO11" s="9">
        <v>118900</v>
      </c>
      <c r="AP11" s="10">
        <f t="shared" si="8"/>
        <v>-1.327800829875514E-2</v>
      </c>
      <c r="AQ11" s="10">
        <f t="shared" si="9"/>
        <v>-1.3366949233973491E-2</v>
      </c>
      <c r="AU11" s="5">
        <v>3</v>
      </c>
      <c r="AV11" s="7" t="s">
        <v>36</v>
      </c>
      <c r="AW11" s="8">
        <v>40000000</v>
      </c>
      <c r="AX11" s="9">
        <v>2250</v>
      </c>
      <c r="AY11" s="10">
        <f t="shared" si="10"/>
        <v>-1.098901098901095E-2</v>
      </c>
      <c r="AZ11" s="10">
        <f t="shared" si="11"/>
        <v>-1.1049836186584935E-2</v>
      </c>
      <c r="BD11" s="5">
        <v>3</v>
      </c>
      <c r="BE11" s="7" t="s">
        <v>36</v>
      </c>
      <c r="BF11" s="8">
        <v>16068000</v>
      </c>
      <c r="BG11" s="9">
        <v>9550</v>
      </c>
      <c r="BH11" s="10">
        <f t="shared" si="12"/>
        <v>-2.6503567787971472E-2</v>
      </c>
      <c r="BI11" s="10">
        <f t="shared" si="13"/>
        <v>-2.6861119084632849E-2</v>
      </c>
    </row>
    <row r="12" spans="2:63" x14ac:dyDescent="0.4">
      <c r="B12" s="5">
        <v>4</v>
      </c>
      <c r="C12" s="7" t="s">
        <v>37</v>
      </c>
      <c r="D12" s="8">
        <v>24054799</v>
      </c>
      <c r="E12" s="9">
        <v>8260</v>
      </c>
      <c r="F12" s="10">
        <f t="shared" si="0"/>
        <v>-2.2485207100591764E-2</v>
      </c>
      <c r="G12" s="10">
        <f t="shared" si="1"/>
        <v>-2.2741853836195831E-2</v>
      </c>
      <c r="K12" s="5">
        <v>4</v>
      </c>
      <c r="L12" s="7" t="s">
        <v>37</v>
      </c>
      <c r="M12" s="8">
        <v>21929315</v>
      </c>
      <c r="N12" s="9">
        <v>11360</v>
      </c>
      <c r="O12" s="10">
        <f t="shared" si="2"/>
        <v>-7.8602620087335762E-3</v>
      </c>
      <c r="P12" s="10">
        <f t="shared" si="3"/>
        <v>-7.8913167072433149E-3</v>
      </c>
      <c r="T12" s="5">
        <v>4</v>
      </c>
      <c r="U12" s="7" t="s">
        <v>37</v>
      </c>
      <c r="V12" s="8">
        <v>26014161</v>
      </c>
      <c r="W12" s="9">
        <v>10870</v>
      </c>
      <c r="X12" s="10">
        <f t="shared" si="4"/>
        <v>0</v>
      </c>
      <c r="Y12" s="10">
        <f t="shared" si="5"/>
        <v>0</v>
      </c>
      <c r="AC12" s="5">
        <v>4</v>
      </c>
      <c r="AD12" s="7" t="s">
        <v>37</v>
      </c>
      <c r="AE12" s="8">
        <v>34941838</v>
      </c>
      <c r="AF12" s="9">
        <v>17720</v>
      </c>
      <c r="AG12" s="10">
        <f t="shared" si="6"/>
        <v>-1.5555555555555545E-2</v>
      </c>
      <c r="AH12" s="10">
        <f t="shared" si="7"/>
        <v>-1.5677812719229793E-2</v>
      </c>
      <c r="AL12" s="5">
        <v>4</v>
      </c>
      <c r="AM12" s="7" t="s">
        <v>37</v>
      </c>
      <c r="AN12" s="8">
        <v>58492759</v>
      </c>
      <c r="AO12" s="9">
        <v>120500</v>
      </c>
      <c r="AP12" s="10">
        <f t="shared" si="8"/>
        <v>-4.1322314049586639E-3</v>
      </c>
      <c r="AQ12" s="10">
        <f t="shared" si="9"/>
        <v>-4.1407926660313879E-3</v>
      </c>
      <c r="AU12" s="5">
        <v>4</v>
      </c>
      <c r="AV12" s="7" t="s">
        <v>37</v>
      </c>
      <c r="AW12" s="8">
        <v>40000000</v>
      </c>
      <c r="AX12" s="9">
        <v>2275</v>
      </c>
      <c r="AY12" s="10">
        <f t="shared" si="10"/>
        <v>-8.7145969498910736E-3</v>
      </c>
      <c r="AZ12" s="10">
        <f t="shared" si="11"/>
        <v>-8.7527911095947441E-3</v>
      </c>
      <c r="BD12" s="5">
        <v>4</v>
      </c>
      <c r="BE12" s="7" t="s">
        <v>37</v>
      </c>
      <c r="BF12" s="8">
        <v>16068000</v>
      </c>
      <c r="BG12" s="9">
        <v>9810</v>
      </c>
      <c r="BH12" s="10">
        <f t="shared" si="12"/>
        <v>9.2592592592593004E-3</v>
      </c>
      <c r="BI12" s="10">
        <f t="shared" si="13"/>
        <v>9.2166551049240476E-3</v>
      </c>
    </row>
    <row r="13" spans="2:63" x14ac:dyDescent="0.4">
      <c r="B13" s="5">
        <v>5</v>
      </c>
      <c r="C13" s="7" t="s">
        <v>38</v>
      </c>
      <c r="D13" s="8">
        <v>24054799</v>
      </c>
      <c r="E13" s="9">
        <v>8450</v>
      </c>
      <c r="F13" s="10">
        <f t="shared" si="0"/>
        <v>-1.8583042973286834E-2</v>
      </c>
      <c r="G13" s="10">
        <f t="shared" si="1"/>
        <v>-1.875787707055691E-2</v>
      </c>
      <c r="K13" s="5">
        <v>5</v>
      </c>
      <c r="L13" s="7" t="s">
        <v>38</v>
      </c>
      <c r="M13" s="8">
        <v>21929315</v>
      </c>
      <c r="N13" s="9">
        <v>11450</v>
      </c>
      <c r="O13" s="10">
        <f t="shared" si="2"/>
        <v>-7.7989601386482255E-3</v>
      </c>
      <c r="P13" s="10">
        <f t="shared" si="3"/>
        <v>-7.8295310797048927E-3</v>
      </c>
      <c r="T13" s="5">
        <v>5</v>
      </c>
      <c r="U13" s="7" t="s">
        <v>38</v>
      </c>
      <c r="V13" s="8">
        <v>26014161</v>
      </c>
      <c r="W13" s="9">
        <v>10870</v>
      </c>
      <c r="X13" s="10">
        <f t="shared" si="4"/>
        <v>-1.5398550724637694E-2</v>
      </c>
      <c r="Y13" s="10">
        <f t="shared" si="5"/>
        <v>-1.551833971583119E-2</v>
      </c>
      <c r="AC13" s="5">
        <v>5</v>
      </c>
      <c r="AD13" s="7" t="s">
        <v>38</v>
      </c>
      <c r="AE13" s="8">
        <v>34941838</v>
      </c>
      <c r="AF13" s="9">
        <v>18000</v>
      </c>
      <c r="AG13" s="10">
        <f t="shared" si="6"/>
        <v>-6.6225165562914245E-3</v>
      </c>
      <c r="AH13" s="10">
        <f t="shared" si="7"/>
        <v>-6.6445427186686131E-3</v>
      </c>
      <c r="AL13" s="5">
        <v>5</v>
      </c>
      <c r="AM13" s="7" t="s">
        <v>38</v>
      </c>
      <c r="AN13" s="8">
        <v>58492759</v>
      </c>
      <c r="AO13" s="9">
        <v>121000</v>
      </c>
      <c r="AP13" s="10">
        <f t="shared" si="8"/>
        <v>-7.3831009023790362E-3</v>
      </c>
      <c r="AQ13" s="10">
        <f t="shared" si="9"/>
        <v>-7.4104908904847897E-3</v>
      </c>
      <c r="AU13" s="5">
        <v>5</v>
      </c>
      <c r="AV13" s="7" t="s">
        <v>38</v>
      </c>
      <c r="AW13" s="8">
        <v>40000000</v>
      </c>
      <c r="AX13" s="9">
        <v>2295</v>
      </c>
      <c r="AY13" s="10">
        <f t="shared" si="10"/>
        <v>-8.6393088552916275E-3</v>
      </c>
      <c r="AZ13" s="10">
        <f t="shared" si="11"/>
        <v>-8.6768440256889713E-3</v>
      </c>
      <c r="BD13" s="5">
        <v>5</v>
      </c>
      <c r="BE13" s="7" t="s">
        <v>38</v>
      </c>
      <c r="BF13" s="8">
        <v>16068000</v>
      </c>
      <c r="BG13" s="9">
        <v>9720</v>
      </c>
      <c r="BH13" s="10">
        <f t="shared" si="12"/>
        <v>1.039501039501034E-2</v>
      </c>
      <c r="BI13" s="10">
        <f t="shared" si="13"/>
        <v>1.0341353794732531E-2</v>
      </c>
    </row>
    <row r="14" spans="2:63" x14ac:dyDescent="0.4">
      <c r="B14" s="5">
        <v>6</v>
      </c>
      <c r="C14" s="7" t="s">
        <v>39</v>
      </c>
      <c r="D14" s="8">
        <v>24054799</v>
      </c>
      <c r="E14" s="9">
        <v>8610</v>
      </c>
      <c r="F14" s="10">
        <f t="shared" si="0"/>
        <v>1.1750881316098694E-2</v>
      </c>
      <c r="G14" s="10">
        <f t="shared" si="1"/>
        <v>1.1682375854356651E-2</v>
      </c>
      <c r="K14" s="5">
        <v>6</v>
      </c>
      <c r="L14" s="7" t="s">
        <v>39</v>
      </c>
      <c r="M14" s="8">
        <v>21929315</v>
      </c>
      <c r="N14" s="9">
        <v>11540</v>
      </c>
      <c r="O14" s="10">
        <f t="shared" si="2"/>
        <v>-3.4542314335060942E-3</v>
      </c>
      <c r="P14" s="10">
        <f t="shared" si="3"/>
        <v>-3.4602110648957311E-3</v>
      </c>
      <c r="T14" s="5">
        <v>6</v>
      </c>
      <c r="U14" s="7" t="s">
        <v>39</v>
      </c>
      <c r="V14" s="8">
        <v>26014161</v>
      </c>
      <c r="W14" s="9">
        <v>11040</v>
      </c>
      <c r="X14" s="10">
        <f t="shared" si="4"/>
        <v>-1.6042780748663055E-2</v>
      </c>
      <c r="Y14" s="10">
        <f t="shared" si="5"/>
        <v>-1.6172859245600957E-2</v>
      </c>
      <c r="AC14" s="5">
        <v>6</v>
      </c>
      <c r="AD14" s="7" t="s">
        <v>39</v>
      </c>
      <c r="AE14" s="8">
        <v>34941838</v>
      </c>
      <c r="AF14" s="9">
        <v>18120</v>
      </c>
      <c r="AG14" s="10">
        <f t="shared" si="6"/>
        <v>2.3150762281197057E-2</v>
      </c>
      <c r="AH14" s="10">
        <f t="shared" si="7"/>
        <v>2.2886848820091094E-2</v>
      </c>
      <c r="AL14" s="5">
        <v>6</v>
      </c>
      <c r="AM14" s="7" t="s">
        <v>39</v>
      </c>
      <c r="AN14" s="8">
        <v>58492759</v>
      </c>
      <c r="AO14" s="9">
        <v>121900</v>
      </c>
      <c r="AP14" s="10">
        <f t="shared" si="8"/>
        <v>5.7755775577557067E-3</v>
      </c>
      <c r="AQ14" s="10">
        <f t="shared" si="9"/>
        <v>5.758962852011695E-3</v>
      </c>
      <c r="AU14" s="5">
        <v>6</v>
      </c>
      <c r="AV14" s="7" t="s">
        <v>39</v>
      </c>
      <c r="AW14" s="8">
        <v>40000000</v>
      </c>
      <c r="AX14" s="9">
        <v>2315</v>
      </c>
      <c r="AY14" s="10">
        <f t="shared" si="10"/>
        <v>1.0917030567685559E-2</v>
      </c>
      <c r="AZ14" s="10">
        <f t="shared" si="11"/>
        <v>1.0857869972049086E-2</v>
      </c>
      <c r="BD14" s="5">
        <v>6</v>
      </c>
      <c r="BE14" s="7" t="s">
        <v>39</v>
      </c>
      <c r="BF14" s="8">
        <v>16068000</v>
      </c>
      <c r="BG14" s="9">
        <v>9620</v>
      </c>
      <c r="BH14" s="10">
        <f t="shared" si="12"/>
        <v>3.3297529538131032E-2</v>
      </c>
      <c r="BI14" s="10">
        <f t="shared" si="13"/>
        <v>3.2755173388639411E-2</v>
      </c>
    </row>
    <row r="15" spans="2:63" x14ac:dyDescent="0.4">
      <c r="B15" s="5">
        <v>7</v>
      </c>
      <c r="C15" s="7" t="s">
        <v>40</v>
      </c>
      <c r="D15" s="8">
        <v>24054799</v>
      </c>
      <c r="E15" s="9">
        <v>8510</v>
      </c>
      <c r="F15" s="10">
        <f t="shared" si="0"/>
        <v>-1.1737089201877549E-3</v>
      </c>
      <c r="G15" s="10">
        <f t="shared" si="1"/>
        <v>-1.1743982559415578E-3</v>
      </c>
      <c r="K15" s="5">
        <v>7</v>
      </c>
      <c r="L15" s="7" t="s">
        <v>40</v>
      </c>
      <c r="M15" s="8">
        <v>21929315</v>
      </c>
      <c r="N15" s="9">
        <v>11580</v>
      </c>
      <c r="O15" s="10">
        <f t="shared" si="2"/>
        <v>-9.4097519247219319E-3</v>
      </c>
      <c r="P15" s="10">
        <f t="shared" si="3"/>
        <v>-9.4543033391278064E-3</v>
      </c>
      <c r="T15" s="5">
        <v>7</v>
      </c>
      <c r="U15" s="7" t="s">
        <v>40</v>
      </c>
      <c r="V15" s="8">
        <v>26014161</v>
      </c>
      <c r="W15" s="9">
        <v>11220</v>
      </c>
      <c r="X15" s="10">
        <f t="shared" si="4"/>
        <v>-2.604166666666663E-2</v>
      </c>
      <c r="Y15" s="10">
        <f t="shared" si="5"/>
        <v>-2.6386755173194887E-2</v>
      </c>
      <c r="AC15" s="5">
        <v>7</v>
      </c>
      <c r="AD15" s="7" t="s">
        <v>40</v>
      </c>
      <c r="AE15" s="8">
        <v>34941838</v>
      </c>
      <c r="AF15" s="9">
        <v>17710</v>
      </c>
      <c r="AG15" s="10">
        <f t="shared" si="6"/>
        <v>-6.7302299495233253E-3</v>
      </c>
      <c r="AH15" s="10">
        <f t="shared" si="7"/>
        <v>-6.7529800803069187E-3</v>
      </c>
      <c r="AL15" s="5">
        <v>7</v>
      </c>
      <c r="AM15" s="7" t="s">
        <v>40</v>
      </c>
      <c r="AN15" s="8">
        <v>58492759</v>
      </c>
      <c r="AO15" s="9">
        <v>121200</v>
      </c>
      <c r="AP15" s="10">
        <f t="shared" si="8"/>
        <v>1.5926236378876801E-2</v>
      </c>
      <c r="AQ15" s="10">
        <f t="shared" si="9"/>
        <v>1.5800744531343669E-2</v>
      </c>
      <c r="AU15" s="5">
        <v>7</v>
      </c>
      <c r="AV15" s="7" t="s">
        <v>40</v>
      </c>
      <c r="AW15" s="8">
        <v>40000000</v>
      </c>
      <c r="AX15" s="9">
        <v>2290</v>
      </c>
      <c r="AY15" s="10">
        <f t="shared" si="10"/>
        <v>1.327433628318575E-2</v>
      </c>
      <c r="AZ15" s="10">
        <f t="shared" si="11"/>
        <v>1.3187004281953681E-2</v>
      </c>
      <c r="BD15" s="5">
        <v>7</v>
      </c>
      <c r="BE15" s="7" t="s">
        <v>40</v>
      </c>
      <c r="BF15" s="8">
        <v>16068000</v>
      </c>
      <c r="BG15" s="9">
        <v>9310</v>
      </c>
      <c r="BH15" s="10">
        <f t="shared" si="12"/>
        <v>3.2327586206897241E-3</v>
      </c>
      <c r="BI15" s="10">
        <f t="shared" si="13"/>
        <v>3.2275444908665646E-3</v>
      </c>
    </row>
    <row r="16" spans="2:63" x14ac:dyDescent="0.4">
      <c r="B16" s="5">
        <v>8</v>
      </c>
      <c r="C16" s="7" t="s">
        <v>41</v>
      </c>
      <c r="D16" s="8">
        <v>24054799</v>
      </c>
      <c r="E16" s="9">
        <v>8520</v>
      </c>
      <c r="F16" s="10">
        <f t="shared" si="0"/>
        <v>-1.2746234067207429E-2</v>
      </c>
      <c r="G16" s="10">
        <f t="shared" si="1"/>
        <v>-1.2828164254112227E-2</v>
      </c>
      <c r="K16" s="5">
        <v>8</v>
      </c>
      <c r="L16" s="7" t="s">
        <v>41</v>
      </c>
      <c r="M16" s="8">
        <v>21929315</v>
      </c>
      <c r="N16" s="9">
        <v>11690</v>
      </c>
      <c r="O16" s="10">
        <f t="shared" si="2"/>
        <v>-3.4100596760443525E-3</v>
      </c>
      <c r="P16" s="10">
        <f t="shared" si="3"/>
        <v>-3.4158871814070719E-3</v>
      </c>
      <c r="T16" s="5">
        <v>8</v>
      </c>
      <c r="U16" s="7" t="s">
        <v>41</v>
      </c>
      <c r="V16" s="8">
        <v>26014161</v>
      </c>
      <c r="W16" s="9">
        <v>11520</v>
      </c>
      <c r="X16" s="10">
        <f t="shared" si="4"/>
        <v>-4.7146401985111663E-2</v>
      </c>
      <c r="Y16" s="10">
        <f t="shared" si="5"/>
        <v>-4.8294009358956128E-2</v>
      </c>
      <c r="AC16" s="5">
        <v>8</v>
      </c>
      <c r="AD16" s="7" t="s">
        <v>41</v>
      </c>
      <c r="AE16" s="8">
        <v>34941838</v>
      </c>
      <c r="AF16" s="9">
        <v>17830</v>
      </c>
      <c r="AG16" s="10">
        <f t="shared" si="6"/>
        <v>-2.0329670329670368E-2</v>
      </c>
      <c r="AH16" s="10">
        <f t="shared" si="7"/>
        <v>-2.0539162207700665E-2</v>
      </c>
      <c r="AL16" s="5">
        <v>8</v>
      </c>
      <c r="AM16" s="7" t="s">
        <v>41</v>
      </c>
      <c r="AN16" s="8">
        <v>58492759</v>
      </c>
      <c r="AO16" s="9">
        <v>119300</v>
      </c>
      <c r="AP16" s="10">
        <f t="shared" si="8"/>
        <v>-2.0525451559934349E-2</v>
      </c>
      <c r="AQ16" s="10">
        <f t="shared" si="9"/>
        <v>-2.0739026171926252E-2</v>
      </c>
      <c r="AU16" s="5">
        <v>8</v>
      </c>
      <c r="AV16" s="7" t="s">
        <v>41</v>
      </c>
      <c r="AW16" s="8">
        <v>40000000</v>
      </c>
      <c r="AX16" s="9">
        <v>2260</v>
      </c>
      <c r="AY16" s="10">
        <f t="shared" si="10"/>
        <v>-1.0940919037199071E-2</v>
      </c>
      <c r="AZ16" s="10">
        <f t="shared" si="11"/>
        <v>-1.1001211061973456E-2</v>
      </c>
      <c r="BD16" s="5">
        <v>8</v>
      </c>
      <c r="BE16" s="7" t="s">
        <v>41</v>
      </c>
      <c r="BF16" s="8">
        <v>16068000</v>
      </c>
      <c r="BG16" s="9">
        <v>9280</v>
      </c>
      <c r="BH16" s="10">
        <f t="shared" si="12"/>
        <v>-2.2128556375131669E-2</v>
      </c>
      <c r="BI16" s="10">
        <f t="shared" si="13"/>
        <v>-2.2377065823727241E-2</v>
      </c>
    </row>
    <row r="17" spans="2:61" x14ac:dyDescent="0.4">
      <c r="B17" s="5">
        <v>9</v>
      </c>
      <c r="C17" s="7" t="s">
        <v>42</v>
      </c>
      <c r="D17" s="8">
        <v>24054799</v>
      </c>
      <c r="E17" s="9">
        <v>8630</v>
      </c>
      <c r="F17" s="10">
        <f t="shared" si="0"/>
        <v>-1.5963511972634015E-2</v>
      </c>
      <c r="G17" s="10">
        <f t="shared" si="1"/>
        <v>-1.6092301288755131E-2</v>
      </c>
      <c r="K17" s="5">
        <v>9</v>
      </c>
      <c r="L17" s="7" t="s">
        <v>42</v>
      </c>
      <c r="M17" s="8">
        <v>21929315</v>
      </c>
      <c r="N17" s="9">
        <v>11730</v>
      </c>
      <c r="O17" s="10">
        <f t="shared" si="2"/>
        <v>-1.593959731543626E-2</v>
      </c>
      <c r="P17" s="10">
        <f t="shared" si="3"/>
        <v>-1.6067998971819625E-2</v>
      </c>
      <c r="T17" s="5">
        <v>9</v>
      </c>
      <c r="U17" s="7" t="s">
        <v>42</v>
      </c>
      <c r="V17" s="8">
        <v>26014161</v>
      </c>
      <c r="W17" s="9">
        <v>12090</v>
      </c>
      <c r="X17" s="10">
        <f t="shared" si="4"/>
        <v>-6.8567026194144787E-2</v>
      </c>
      <c r="Y17" s="10">
        <f t="shared" si="5"/>
        <v>-7.1031046649242577E-2</v>
      </c>
      <c r="AC17" s="5">
        <v>9</v>
      </c>
      <c r="AD17" s="7" t="s">
        <v>42</v>
      </c>
      <c r="AE17" s="8">
        <v>34941838</v>
      </c>
      <c r="AF17" s="9">
        <v>18200</v>
      </c>
      <c r="AG17" s="10">
        <f t="shared" si="6"/>
        <v>-2.739726027397249E-3</v>
      </c>
      <c r="AH17" s="10">
        <f t="shared" si="7"/>
        <v>-2.7434859457508326E-3</v>
      </c>
      <c r="AL17" s="5">
        <v>9</v>
      </c>
      <c r="AM17" s="7" t="s">
        <v>42</v>
      </c>
      <c r="AN17" s="8">
        <v>58492759</v>
      </c>
      <c r="AO17" s="9">
        <v>121800</v>
      </c>
      <c r="AP17" s="10">
        <f t="shared" si="8"/>
        <v>-1.9323671497584516E-2</v>
      </c>
      <c r="AQ17" s="10">
        <f t="shared" si="9"/>
        <v>-1.9512814223581715E-2</v>
      </c>
      <c r="AU17" s="5">
        <v>9</v>
      </c>
      <c r="AV17" s="7" t="s">
        <v>42</v>
      </c>
      <c r="AW17" s="8">
        <v>40000000</v>
      </c>
      <c r="AX17" s="9">
        <v>2285</v>
      </c>
      <c r="AY17" s="10">
        <f t="shared" si="10"/>
        <v>2.1929824561404132E-3</v>
      </c>
      <c r="AZ17" s="10">
        <f t="shared" si="11"/>
        <v>2.1905813798186818E-3</v>
      </c>
      <c r="BD17" s="5">
        <v>9</v>
      </c>
      <c r="BE17" s="7" t="s">
        <v>42</v>
      </c>
      <c r="BF17" s="8">
        <v>16068000</v>
      </c>
      <c r="BG17" s="9">
        <v>9490</v>
      </c>
      <c r="BH17" s="10">
        <f t="shared" si="12"/>
        <v>-1.8614270941054833E-2</v>
      </c>
      <c r="BI17" s="10">
        <f t="shared" si="13"/>
        <v>-1.8789696843366486E-2</v>
      </c>
    </row>
    <row r="18" spans="2:61" x14ac:dyDescent="0.4">
      <c r="B18" s="5">
        <v>10</v>
      </c>
      <c r="C18" s="7" t="s">
        <v>43</v>
      </c>
      <c r="D18" s="8">
        <v>24054799</v>
      </c>
      <c r="E18" s="9">
        <v>8770</v>
      </c>
      <c r="F18" s="10">
        <f t="shared" si="0"/>
        <v>1.1415525114155667E-3</v>
      </c>
      <c r="G18" s="10">
        <f t="shared" si="1"/>
        <v>1.1409014357916423E-3</v>
      </c>
      <c r="K18" s="5">
        <v>10</v>
      </c>
      <c r="L18" s="7" t="s">
        <v>43</v>
      </c>
      <c r="M18" s="8">
        <v>21929315</v>
      </c>
      <c r="N18" s="9">
        <v>11920</v>
      </c>
      <c r="O18" s="10">
        <f t="shared" si="2"/>
        <v>2.2298456260720467E-2</v>
      </c>
      <c r="P18" s="10">
        <f t="shared" si="3"/>
        <v>2.2053480714857437E-2</v>
      </c>
      <c r="T18" s="5">
        <v>10</v>
      </c>
      <c r="U18" s="7" t="s">
        <v>43</v>
      </c>
      <c r="V18" s="8">
        <v>26014161</v>
      </c>
      <c r="W18" s="9">
        <v>12980</v>
      </c>
      <c r="X18" s="10">
        <f t="shared" si="4"/>
        <v>0.15892857142857153</v>
      </c>
      <c r="Y18" s="10">
        <f t="shared" si="5"/>
        <v>0.14749593297489516</v>
      </c>
      <c r="AC18" s="5">
        <v>10</v>
      </c>
      <c r="AD18" s="7" t="s">
        <v>43</v>
      </c>
      <c r="AE18" s="8">
        <v>34941838</v>
      </c>
      <c r="AF18" s="9">
        <v>18250</v>
      </c>
      <c r="AG18" s="10">
        <f t="shared" si="6"/>
        <v>-1.6411378555798439E-3</v>
      </c>
      <c r="AH18" s="10">
        <f t="shared" si="7"/>
        <v>-1.6424859975034149E-3</v>
      </c>
      <c r="AL18" s="5">
        <v>10</v>
      </c>
      <c r="AM18" s="7" t="s">
        <v>43</v>
      </c>
      <c r="AN18" s="8">
        <v>58492759</v>
      </c>
      <c r="AO18" s="9">
        <v>124200</v>
      </c>
      <c r="AP18" s="10">
        <f t="shared" si="8"/>
        <v>1.2224938875305513E-2</v>
      </c>
      <c r="AQ18" s="10">
        <f t="shared" si="9"/>
        <v>1.2150817782512528E-2</v>
      </c>
      <c r="AU18" s="5">
        <v>10</v>
      </c>
      <c r="AV18" s="7" t="s">
        <v>43</v>
      </c>
      <c r="AW18" s="8">
        <v>40000000</v>
      </c>
      <c r="AX18" s="9">
        <v>2280</v>
      </c>
      <c r="AY18" s="10">
        <f t="shared" si="10"/>
        <v>-1.2987012987012991E-2</v>
      </c>
      <c r="AZ18" s="10">
        <f t="shared" si="11"/>
        <v>-1.3072081567352775E-2</v>
      </c>
      <c r="BD18" s="5">
        <v>10</v>
      </c>
      <c r="BE18" s="7" t="s">
        <v>43</v>
      </c>
      <c r="BF18" s="8">
        <v>16068000</v>
      </c>
      <c r="BG18" s="9">
        <v>9670</v>
      </c>
      <c r="BH18" s="10">
        <f t="shared" si="12"/>
        <v>-7.1868583162217892E-3</v>
      </c>
      <c r="BI18" s="10">
        <f t="shared" si="13"/>
        <v>-7.2128081892407978E-3</v>
      </c>
    </row>
    <row r="19" spans="2:61" x14ac:dyDescent="0.4">
      <c r="B19" s="5">
        <v>11</v>
      </c>
      <c r="C19" s="7" t="s">
        <v>44</v>
      </c>
      <c r="D19" s="8">
        <v>24054799</v>
      </c>
      <c r="E19" s="9">
        <v>8760</v>
      </c>
      <c r="F19" s="10">
        <f t="shared" si="0"/>
        <v>8.0552359033372323E-3</v>
      </c>
      <c r="G19" s="10">
        <f t="shared" si="1"/>
        <v>8.0229656709994643E-3</v>
      </c>
      <c r="K19" s="5">
        <v>11</v>
      </c>
      <c r="L19" s="7" t="s">
        <v>44</v>
      </c>
      <c r="M19" s="8">
        <v>21929315</v>
      </c>
      <c r="N19" s="9">
        <v>11660</v>
      </c>
      <c r="O19" s="10">
        <f t="shared" si="2"/>
        <v>-5.1194539249146409E-3</v>
      </c>
      <c r="P19" s="10">
        <f t="shared" si="3"/>
        <v>-5.1326032265202022E-3</v>
      </c>
      <c r="T19" s="5">
        <v>11</v>
      </c>
      <c r="U19" s="7" t="s">
        <v>44</v>
      </c>
      <c r="V19" s="8">
        <v>26014161</v>
      </c>
      <c r="W19" s="9">
        <v>11200</v>
      </c>
      <c r="X19" s="10">
        <f t="shared" si="4"/>
        <v>0.22672508214676879</v>
      </c>
      <c r="Y19" s="10">
        <f t="shared" si="5"/>
        <v>0.20434808369417168</v>
      </c>
      <c r="AC19" s="5">
        <v>11</v>
      </c>
      <c r="AD19" s="7" t="s">
        <v>44</v>
      </c>
      <c r="AE19" s="8">
        <v>34941838</v>
      </c>
      <c r="AF19" s="9">
        <v>18280</v>
      </c>
      <c r="AG19" s="10">
        <f t="shared" si="6"/>
        <v>-1.8786902844873832E-2</v>
      </c>
      <c r="AH19" s="10">
        <f t="shared" si="7"/>
        <v>-1.896561858749311E-2</v>
      </c>
      <c r="AL19" s="5">
        <v>11</v>
      </c>
      <c r="AM19" s="7" t="s">
        <v>44</v>
      </c>
      <c r="AN19" s="8">
        <v>58492759</v>
      </c>
      <c r="AO19" s="9">
        <v>122700</v>
      </c>
      <c r="AP19" s="10">
        <f t="shared" si="8"/>
        <v>7.3891625615762901E-3</v>
      </c>
      <c r="AQ19" s="10">
        <f t="shared" si="9"/>
        <v>7.3619964410690398E-3</v>
      </c>
      <c r="AU19" s="5">
        <v>11</v>
      </c>
      <c r="AV19" s="7" t="s">
        <v>44</v>
      </c>
      <c r="AW19" s="8">
        <v>40000000</v>
      </c>
      <c r="AX19" s="9">
        <v>2310</v>
      </c>
      <c r="AY19" s="10">
        <f t="shared" si="10"/>
        <v>6.5359477124182774E-3</v>
      </c>
      <c r="AZ19" s="10">
        <f t="shared" si="11"/>
        <v>6.5146810211936723E-3</v>
      </c>
      <c r="BD19" s="5">
        <v>11</v>
      </c>
      <c r="BE19" s="7" t="s">
        <v>44</v>
      </c>
      <c r="BF19" s="8">
        <v>16068000</v>
      </c>
      <c r="BG19" s="9">
        <v>9740</v>
      </c>
      <c r="BH19" s="10">
        <f t="shared" si="12"/>
        <v>-1.0162601626016232E-2</v>
      </c>
      <c r="BI19" s="10">
        <f t="shared" si="13"/>
        <v>-1.0214593409718295E-2</v>
      </c>
    </row>
    <row r="20" spans="2:61" x14ac:dyDescent="0.4">
      <c r="B20" s="5">
        <v>12</v>
      </c>
      <c r="C20" s="7" t="s">
        <v>45</v>
      </c>
      <c r="D20" s="8">
        <v>24054799</v>
      </c>
      <c r="E20" s="9">
        <v>8690</v>
      </c>
      <c r="F20" s="10">
        <f t="shared" si="0"/>
        <v>-2.2962112514350874E-3</v>
      </c>
      <c r="G20" s="10">
        <f t="shared" si="1"/>
        <v>-2.2988515871107127E-3</v>
      </c>
      <c r="K20" s="5">
        <v>12</v>
      </c>
      <c r="L20" s="7" t="s">
        <v>45</v>
      </c>
      <c r="M20" s="8">
        <v>21929315</v>
      </c>
      <c r="N20" s="9">
        <v>11720</v>
      </c>
      <c r="O20" s="10">
        <f t="shared" si="2"/>
        <v>6.0085836909871126E-3</v>
      </c>
      <c r="P20" s="10">
        <f t="shared" si="3"/>
        <v>5.9906041371569733E-3</v>
      </c>
      <c r="T20" s="5">
        <v>12</v>
      </c>
      <c r="U20" s="7" t="s">
        <v>45</v>
      </c>
      <c r="V20" s="8">
        <v>26014161</v>
      </c>
      <c r="W20" s="9">
        <v>9130</v>
      </c>
      <c r="X20" s="10">
        <f t="shared" si="4"/>
        <v>-5.973223480947476E-2</v>
      </c>
      <c r="Y20" s="10">
        <f t="shared" si="5"/>
        <v>-6.1590587696356433E-2</v>
      </c>
      <c r="AC20" s="5">
        <v>12</v>
      </c>
      <c r="AD20" s="7" t="s">
        <v>45</v>
      </c>
      <c r="AE20" s="8">
        <v>34941838</v>
      </c>
      <c r="AF20" s="9">
        <v>18630</v>
      </c>
      <c r="AG20" s="10">
        <f t="shared" si="6"/>
        <v>-5.8697972251867681E-3</v>
      </c>
      <c r="AH20" s="10">
        <f t="shared" si="7"/>
        <v>-5.8870921967790427E-3</v>
      </c>
      <c r="AL20" s="5">
        <v>12</v>
      </c>
      <c r="AM20" s="7" t="s">
        <v>45</v>
      </c>
      <c r="AN20" s="8">
        <v>58492759</v>
      </c>
      <c r="AO20" s="9">
        <v>121800</v>
      </c>
      <c r="AP20" s="10">
        <f t="shared" si="8"/>
        <v>0</v>
      </c>
      <c r="AQ20" s="10">
        <f t="shared" si="9"/>
        <v>0</v>
      </c>
      <c r="AU20" s="5">
        <v>12</v>
      </c>
      <c r="AV20" s="7" t="s">
        <v>45</v>
      </c>
      <c r="AW20" s="8">
        <v>40000000</v>
      </c>
      <c r="AX20" s="9">
        <v>2295</v>
      </c>
      <c r="AY20" s="10">
        <f t="shared" si="10"/>
        <v>6.5789473684210176E-3</v>
      </c>
      <c r="AZ20" s="10">
        <f t="shared" si="11"/>
        <v>6.5574005461590396E-3</v>
      </c>
      <c r="BD20" s="5">
        <v>12</v>
      </c>
      <c r="BE20" s="7" t="s">
        <v>45</v>
      </c>
      <c r="BF20" s="8">
        <v>16068000</v>
      </c>
      <c r="BG20" s="9">
        <v>9840</v>
      </c>
      <c r="BH20" s="10">
        <f t="shared" si="12"/>
        <v>-6.0606060606060996E-3</v>
      </c>
      <c r="BI20" s="10">
        <f t="shared" si="13"/>
        <v>-6.0790460763822263E-3</v>
      </c>
    </row>
    <row r="21" spans="2:61" x14ac:dyDescent="0.4">
      <c r="B21" s="5">
        <v>13</v>
      </c>
      <c r="C21" s="7" t="s">
        <v>46</v>
      </c>
      <c r="D21" s="8">
        <v>24054799</v>
      </c>
      <c r="E21" s="9">
        <v>8710</v>
      </c>
      <c r="F21" s="10">
        <f t="shared" si="0"/>
        <v>8.1018518518518601E-3</v>
      </c>
      <c r="G21" s="10">
        <f t="shared" si="1"/>
        <v>8.0692080484471834E-3</v>
      </c>
      <c r="K21" s="5">
        <v>13</v>
      </c>
      <c r="L21" s="7" t="s">
        <v>46</v>
      </c>
      <c r="M21" s="8">
        <v>21929315</v>
      </c>
      <c r="N21" s="9">
        <v>11650</v>
      </c>
      <c r="O21" s="10">
        <f t="shared" si="2"/>
        <v>-2.5684931506849695E-3</v>
      </c>
      <c r="P21" s="10">
        <f t="shared" si="3"/>
        <v>-2.571797388371465E-3</v>
      </c>
      <c r="T21" s="5">
        <v>13</v>
      </c>
      <c r="U21" s="7" t="s">
        <v>46</v>
      </c>
      <c r="V21" s="8">
        <v>26014161</v>
      </c>
      <c r="W21" s="9">
        <v>9710</v>
      </c>
      <c r="X21" s="10">
        <f t="shared" si="4"/>
        <v>-6.1412487205732003E-3</v>
      </c>
      <c r="Y21" s="10">
        <f t="shared" si="5"/>
        <v>-6.1601837514578461E-3</v>
      </c>
      <c r="AC21" s="5">
        <v>13</v>
      </c>
      <c r="AD21" s="7" t="s">
        <v>46</v>
      </c>
      <c r="AE21" s="8">
        <v>34941838</v>
      </c>
      <c r="AF21" s="9">
        <v>18740</v>
      </c>
      <c r="AG21" s="10">
        <f t="shared" si="6"/>
        <v>-8.4656084656085095E-3</v>
      </c>
      <c r="AH21" s="10">
        <f t="shared" si="7"/>
        <v>-8.5016452553206105E-3</v>
      </c>
      <c r="AL21" s="5">
        <v>13</v>
      </c>
      <c r="AM21" s="7" t="s">
        <v>46</v>
      </c>
      <c r="AN21" s="8">
        <v>58492759</v>
      </c>
      <c r="AO21" s="9">
        <v>121800</v>
      </c>
      <c r="AP21" s="10">
        <f t="shared" si="8"/>
        <v>4.1220115416322756E-3</v>
      </c>
      <c r="AQ21" s="10">
        <f t="shared" si="9"/>
        <v>4.1135393257921617E-3</v>
      </c>
      <c r="AU21" s="5">
        <v>13</v>
      </c>
      <c r="AV21" s="7" t="s">
        <v>46</v>
      </c>
      <c r="AW21" s="8">
        <v>40000000</v>
      </c>
      <c r="AX21" s="9">
        <v>2280</v>
      </c>
      <c r="AY21" s="10">
        <f t="shared" si="10"/>
        <v>4.405286343612369E-3</v>
      </c>
      <c r="AZ21" s="10">
        <f t="shared" si="11"/>
        <v>4.3956114730381293E-3</v>
      </c>
      <c r="BD21" s="5">
        <v>13</v>
      </c>
      <c r="BE21" s="7" t="s">
        <v>46</v>
      </c>
      <c r="BF21" s="8">
        <v>16068000</v>
      </c>
      <c r="BG21" s="9">
        <v>9900</v>
      </c>
      <c r="BH21" s="10">
        <f t="shared" si="12"/>
        <v>0</v>
      </c>
      <c r="BI21" s="10">
        <f t="shared" si="13"/>
        <v>0</v>
      </c>
    </row>
    <row r="22" spans="2:61" x14ac:dyDescent="0.4">
      <c r="B22" s="5">
        <v>14</v>
      </c>
      <c r="C22" s="7" t="s">
        <v>47</v>
      </c>
      <c r="D22" s="8">
        <v>24054799</v>
      </c>
      <c r="E22" s="9">
        <v>8640</v>
      </c>
      <c r="F22" s="10">
        <f t="shared" si="0"/>
        <v>-9.1743119266054496E-3</v>
      </c>
      <c r="G22" s="10">
        <f t="shared" si="1"/>
        <v>-9.2166551049239522E-3</v>
      </c>
      <c r="K22" s="5">
        <v>14</v>
      </c>
      <c r="L22" s="7" t="s">
        <v>47</v>
      </c>
      <c r="M22" s="8">
        <v>21929315</v>
      </c>
      <c r="N22" s="9">
        <v>11680</v>
      </c>
      <c r="O22" s="10">
        <f t="shared" si="2"/>
        <v>-1.7661900756938631E-2</v>
      </c>
      <c r="P22" s="10">
        <f t="shared" si="3"/>
        <v>-1.781973330260949E-2</v>
      </c>
      <c r="T22" s="5">
        <v>14</v>
      </c>
      <c r="U22" s="7" t="s">
        <v>47</v>
      </c>
      <c r="V22" s="8">
        <v>26014161</v>
      </c>
      <c r="W22" s="9">
        <v>9770</v>
      </c>
      <c r="X22" s="10">
        <f t="shared" si="4"/>
        <v>-2.4950099800399195E-2</v>
      </c>
      <c r="Y22" s="10">
        <f t="shared" si="5"/>
        <v>-2.5266629602027361E-2</v>
      </c>
      <c r="AC22" s="5">
        <v>14</v>
      </c>
      <c r="AD22" s="7" t="s">
        <v>47</v>
      </c>
      <c r="AE22" s="8">
        <v>34941838</v>
      </c>
      <c r="AF22" s="9">
        <v>18900</v>
      </c>
      <c r="AG22" s="10">
        <f t="shared" si="6"/>
        <v>-7.3529411764705621E-3</v>
      </c>
      <c r="AH22" s="10">
        <f t="shared" si="7"/>
        <v>-7.3801072976225337E-3</v>
      </c>
      <c r="AL22" s="5">
        <v>14</v>
      </c>
      <c r="AM22" s="7" t="s">
        <v>47</v>
      </c>
      <c r="AN22" s="8">
        <v>58492759</v>
      </c>
      <c r="AO22" s="9">
        <v>121300</v>
      </c>
      <c r="AP22" s="10">
        <f t="shared" si="8"/>
        <v>-5.7377049180328266E-3</v>
      </c>
      <c r="AQ22" s="10">
        <f t="shared" si="9"/>
        <v>-5.7542287832521516E-3</v>
      </c>
      <c r="AU22" s="5">
        <v>14</v>
      </c>
      <c r="AV22" s="7" t="s">
        <v>47</v>
      </c>
      <c r="AW22" s="8">
        <v>40000000</v>
      </c>
      <c r="AX22" s="9">
        <v>2270</v>
      </c>
      <c r="AY22" s="10">
        <f t="shared" si="10"/>
        <v>-1.3043478260869601E-2</v>
      </c>
      <c r="AZ22" s="10">
        <f t="shared" si="11"/>
        <v>-1.3129291441792736E-2</v>
      </c>
      <c r="BD22" s="5">
        <v>14</v>
      </c>
      <c r="BE22" s="7" t="s">
        <v>47</v>
      </c>
      <c r="BF22" s="8">
        <v>16068000</v>
      </c>
      <c r="BG22" s="9">
        <v>9900</v>
      </c>
      <c r="BH22" s="10">
        <f t="shared" si="12"/>
        <v>-3.0211480362537513E-3</v>
      </c>
      <c r="BI22" s="10">
        <f t="shared" si="13"/>
        <v>-3.0257209165369561E-3</v>
      </c>
    </row>
    <row r="23" spans="2:61" x14ac:dyDescent="0.4">
      <c r="B23" s="5">
        <v>15</v>
      </c>
      <c r="C23" s="7" t="s">
        <v>48</v>
      </c>
      <c r="D23" s="8">
        <v>24054799</v>
      </c>
      <c r="E23" s="9">
        <v>8720</v>
      </c>
      <c r="F23" s="10">
        <f t="shared" si="0"/>
        <v>2.2988505747125743E-3</v>
      </c>
      <c r="G23" s="10">
        <f t="shared" si="1"/>
        <v>2.296212260350157E-3</v>
      </c>
      <c r="K23" s="5">
        <v>15</v>
      </c>
      <c r="L23" s="7" t="s">
        <v>48</v>
      </c>
      <c r="M23" s="8">
        <v>21929315</v>
      </c>
      <c r="N23" s="9">
        <v>11890</v>
      </c>
      <c r="O23" s="10">
        <f t="shared" si="2"/>
        <v>-4.1876046901172526E-3</v>
      </c>
      <c r="P23" s="10">
        <f t="shared" si="3"/>
        <v>-4.1963972617655651E-3</v>
      </c>
      <c r="T23" s="5">
        <v>15</v>
      </c>
      <c r="U23" s="7" t="s">
        <v>48</v>
      </c>
      <c r="V23" s="8">
        <v>26014161</v>
      </c>
      <c r="W23" s="9">
        <v>10020</v>
      </c>
      <c r="X23" s="10">
        <f t="shared" si="4"/>
        <v>-2.3391812865497075E-2</v>
      </c>
      <c r="Y23" s="10">
        <f t="shared" si="5"/>
        <v>-2.3669744085904734E-2</v>
      </c>
      <c r="AC23" s="5">
        <v>15</v>
      </c>
      <c r="AD23" s="7" t="s">
        <v>48</v>
      </c>
      <c r="AE23" s="8">
        <v>34941838</v>
      </c>
      <c r="AF23" s="9">
        <v>19040</v>
      </c>
      <c r="AG23" s="10">
        <f t="shared" si="6"/>
        <v>-2.2085259373395005E-2</v>
      </c>
      <c r="AH23" s="10">
        <f t="shared" si="7"/>
        <v>-2.2332790020889101E-2</v>
      </c>
      <c r="AL23" s="5">
        <v>15</v>
      </c>
      <c r="AM23" s="7" t="s">
        <v>48</v>
      </c>
      <c r="AN23" s="8">
        <v>58492759</v>
      </c>
      <c r="AO23" s="9">
        <v>122000</v>
      </c>
      <c r="AP23" s="10">
        <f t="shared" si="8"/>
        <v>-7.3230268510984242E-3</v>
      </c>
      <c r="AQ23" s="10">
        <f t="shared" si="9"/>
        <v>-7.349971838732549E-3</v>
      </c>
      <c r="AU23" s="5">
        <v>15</v>
      </c>
      <c r="AV23" s="7" t="s">
        <v>48</v>
      </c>
      <c r="AW23" s="8">
        <v>40000000</v>
      </c>
      <c r="AX23" s="9">
        <v>2300</v>
      </c>
      <c r="AY23" s="10">
        <f t="shared" si="10"/>
        <v>-2.1691973969630851E-3</v>
      </c>
      <c r="AZ23" s="10">
        <f t="shared" si="11"/>
        <v>-2.1715535135077954E-3</v>
      </c>
      <c r="BD23" s="5">
        <v>15</v>
      </c>
      <c r="BE23" s="7" t="s">
        <v>48</v>
      </c>
      <c r="BF23" s="8">
        <v>16068000</v>
      </c>
      <c r="BG23" s="9">
        <v>9930</v>
      </c>
      <c r="BH23" s="10">
        <f t="shared" si="12"/>
        <v>-4.0120361083250122E-3</v>
      </c>
      <c r="BI23" s="10">
        <f t="shared" si="13"/>
        <v>-4.0201059166657758E-3</v>
      </c>
    </row>
    <row r="24" spans="2:61" x14ac:dyDescent="0.4">
      <c r="B24" s="5">
        <v>16</v>
      </c>
      <c r="C24" s="7" t="s">
        <v>49</v>
      </c>
      <c r="D24" s="8">
        <v>24054799</v>
      </c>
      <c r="E24" s="9">
        <v>8700</v>
      </c>
      <c r="F24" s="10">
        <f t="shared" si="0"/>
        <v>-7.9817559863170073E-3</v>
      </c>
      <c r="G24" s="10">
        <f t="shared" si="1"/>
        <v>-8.0137807235536561E-3</v>
      </c>
      <c r="K24" s="5">
        <v>16</v>
      </c>
      <c r="L24" s="7" t="s">
        <v>49</v>
      </c>
      <c r="M24" s="8">
        <v>21929315</v>
      </c>
      <c r="N24" s="9">
        <v>11940</v>
      </c>
      <c r="O24" s="10">
        <f t="shared" si="2"/>
        <v>1.1864406779660941E-2</v>
      </c>
      <c r="P24" s="10">
        <f t="shared" si="3"/>
        <v>1.1794576492836877E-2</v>
      </c>
      <c r="T24" s="5">
        <v>16</v>
      </c>
      <c r="U24" s="7" t="s">
        <v>49</v>
      </c>
      <c r="V24" s="8">
        <v>26014161</v>
      </c>
      <c r="W24" s="9">
        <v>10260</v>
      </c>
      <c r="X24" s="10">
        <f t="shared" si="4"/>
        <v>6.7637877211238262E-2</v>
      </c>
      <c r="Y24" s="10">
        <f t="shared" si="5"/>
        <v>6.5448616760422323E-2</v>
      </c>
      <c r="AC24" s="5">
        <v>16</v>
      </c>
      <c r="AD24" s="7" t="s">
        <v>49</v>
      </c>
      <c r="AE24" s="8">
        <v>34941838</v>
      </c>
      <c r="AF24" s="9">
        <v>19470</v>
      </c>
      <c r="AG24" s="10">
        <f t="shared" si="6"/>
        <v>-4.6012269938650041E-3</v>
      </c>
      <c r="AH24" s="10">
        <f t="shared" si="7"/>
        <v>-4.6118452225629315E-3</v>
      </c>
      <c r="AL24" s="5">
        <v>16</v>
      </c>
      <c r="AM24" s="7" t="s">
        <v>49</v>
      </c>
      <c r="AN24" s="8">
        <v>58492759</v>
      </c>
      <c r="AO24" s="9">
        <v>122900</v>
      </c>
      <c r="AP24" s="10">
        <f t="shared" si="8"/>
        <v>-1.1263073209975882E-2</v>
      </c>
      <c r="AQ24" s="10">
        <f t="shared" si="9"/>
        <v>-1.1326981944676309E-2</v>
      </c>
      <c r="AU24" s="5">
        <v>16</v>
      </c>
      <c r="AV24" s="7" t="s">
        <v>49</v>
      </c>
      <c r="AW24" s="8">
        <v>40000000</v>
      </c>
      <c r="AX24" s="9">
        <v>2305</v>
      </c>
      <c r="AY24" s="10">
        <f t="shared" si="10"/>
        <v>0</v>
      </c>
      <c r="AZ24" s="10">
        <f t="shared" si="11"/>
        <v>0</v>
      </c>
      <c r="BD24" s="5">
        <v>16</v>
      </c>
      <c r="BE24" s="7" t="s">
        <v>49</v>
      </c>
      <c r="BF24" s="8">
        <v>16068000</v>
      </c>
      <c r="BG24" s="9">
        <v>9970</v>
      </c>
      <c r="BH24" s="10">
        <f t="shared" si="12"/>
        <v>1.0040160642570406E-3</v>
      </c>
      <c r="BI24" s="10">
        <f t="shared" si="13"/>
        <v>1.003512377240109E-3</v>
      </c>
    </row>
    <row r="25" spans="2:61" x14ac:dyDescent="0.4">
      <c r="B25" s="5">
        <v>17</v>
      </c>
      <c r="C25" s="7" t="s">
        <v>50</v>
      </c>
      <c r="D25" s="8">
        <v>24054799</v>
      </c>
      <c r="E25" s="9">
        <v>8770</v>
      </c>
      <c r="F25" s="10">
        <f t="shared" si="0"/>
        <v>-1.3498312710911176E-2</v>
      </c>
      <c r="G25" s="10">
        <f t="shared" si="1"/>
        <v>-1.3590243141721577E-2</v>
      </c>
      <c r="K25" s="5">
        <v>17</v>
      </c>
      <c r="L25" s="7" t="s">
        <v>50</v>
      </c>
      <c r="M25" s="8">
        <v>21929315</v>
      </c>
      <c r="N25" s="9">
        <v>11800</v>
      </c>
      <c r="O25" s="10">
        <f t="shared" si="2"/>
        <v>-2.5359256128486551E-3</v>
      </c>
      <c r="P25" s="10">
        <f t="shared" si="3"/>
        <v>-2.5391465186762985E-3</v>
      </c>
      <c r="T25" s="5">
        <v>17</v>
      </c>
      <c r="U25" s="7" t="s">
        <v>50</v>
      </c>
      <c r="V25" s="8">
        <v>26014161</v>
      </c>
      <c r="W25" s="9">
        <v>9610</v>
      </c>
      <c r="X25" s="10">
        <f t="shared" si="4"/>
        <v>-1.2332990750256956E-2</v>
      </c>
      <c r="Y25" s="10">
        <f t="shared" si="5"/>
        <v>-1.240967321571259E-2</v>
      </c>
      <c r="AC25" s="5">
        <v>17</v>
      </c>
      <c r="AD25" s="7" t="s">
        <v>50</v>
      </c>
      <c r="AE25" s="8">
        <v>34941838</v>
      </c>
      <c r="AF25" s="9">
        <v>19560</v>
      </c>
      <c r="AG25" s="10">
        <f t="shared" si="6"/>
        <v>-4.0733197556007683E-3</v>
      </c>
      <c r="AH25" s="10">
        <f t="shared" si="7"/>
        <v>-4.0816383196485067E-3</v>
      </c>
      <c r="AL25" s="5">
        <v>17</v>
      </c>
      <c r="AM25" s="7" t="s">
        <v>50</v>
      </c>
      <c r="AN25" s="8">
        <v>58492759</v>
      </c>
      <c r="AO25" s="9">
        <v>124300</v>
      </c>
      <c r="AP25" s="10">
        <f t="shared" si="8"/>
        <v>2.4193548387096975E-3</v>
      </c>
      <c r="AQ25" s="10">
        <f t="shared" si="9"/>
        <v>2.4164329116285839E-3</v>
      </c>
      <c r="AU25" s="5">
        <v>17</v>
      </c>
      <c r="AV25" s="7" t="s">
        <v>50</v>
      </c>
      <c r="AW25" s="8">
        <v>40000000</v>
      </c>
      <c r="AX25" s="9">
        <v>2305</v>
      </c>
      <c r="AY25" s="10">
        <f t="shared" si="10"/>
        <v>6.5502183406114245E-3</v>
      </c>
      <c r="AZ25" s="10">
        <f t="shared" si="11"/>
        <v>6.528858882463631E-3</v>
      </c>
      <c r="BD25" s="5">
        <v>17</v>
      </c>
      <c r="BE25" s="7" t="s">
        <v>50</v>
      </c>
      <c r="BF25" s="8">
        <v>16068000</v>
      </c>
      <c r="BG25" s="9">
        <v>9960</v>
      </c>
      <c r="BH25" s="10">
        <f t="shared" si="12"/>
        <v>-4.9950049950050479E-3</v>
      </c>
      <c r="BI25" s="10">
        <f t="shared" si="13"/>
        <v>-5.0075217306224046E-3</v>
      </c>
    </row>
    <row r="26" spans="2:61" x14ac:dyDescent="0.4">
      <c r="B26" s="5">
        <v>18</v>
      </c>
      <c r="C26" s="7" t="s">
        <v>51</v>
      </c>
      <c r="D26" s="8">
        <v>24054799</v>
      </c>
      <c r="E26" s="9">
        <v>8890</v>
      </c>
      <c r="F26" s="10">
        <f t="shared" si="0"/>
        <v>3.3860045146727469E-3</v>
      </c>
      <c r="G26" s="10">
        <f t="shared" si="1"/>
        <v>3.3802849088236911E-3</v>
      </c>
      <c r="K26" s="5">
        <v>18</v>
      </c>
      <c r="L26" s="7" t="s">
        <v>51</v>
      </c>
      <c r="M26" s="8">
        <v>21929315</v>
      </c>
      <c r="N26" s="9">
        <v>11830</v>
      </c>
      <c r="O26" s="10">
        <f t="shared" si="2"/>
        <v>-7.5503355704698016E-3</v>
      </c>
      <c r="P26" s="10">
        <f t="shared" si="3"/>
        <v>-7.5789836469082952E-3</v>
      </c>
      <c r="T26" s="5">
        <v>18</v>
      </c>
      <c r="U26" s="7" t="s">
        <v>51</v>
      </c>
      <c r="V26" s="8">
        <v>26014161</v>
      </c>
      <c r="W26" s="9">
        <v>9730</v>
      </c>
      <c r="X26" s="10">
        <f t="shared" si="4"/>
        <v>0</v>
      </c>
      <c r="Y26" s="10">
        <f t="shared" si="5"/>
        <v>0</v>
      </c>
      <c r="AC26" s="5">
        <v>18</v>
      </c>
      <c r="AD26" s="7" t="s">
        <v>51</v>
      </c>
      <c r="AE26" s="8">
        <v>34941838</v>
      </c>
      <c r="AF26" s="9">
        <v>19640</v>
      </c>
      <c r="AG26" s="10">
        <f t="shared" si="6"/>
        <v>-2.531017369727051E-2</v>
      </c>
      <c r="AH26" s="10">
        <f t="shared" si="7"/>
        <v>-2.5635985466372198E-2</v>
      </c>
      <c r="AL26" s="5">
        <v>18</v>
      </c>
      <c r="AM26" s="7" t="s">
        <v>51</v>
      </c>
      <c r="AN26" s="8">
        <v>58492759</v>
      </c>
      <c r="AO26" s="9">
        <v>124000</v>
      </c>
      <c r="AP26" s="10">
        <f t="shared" si="8"/>
        <v>-9.5846645367412275E-3</v>
      </c>
      <c r="AQ26" s="10">
        <f t="shared" si="9"/>
        <v>-9.6308930609613E-3</v>
      </c>
      <c r="AU26" s="5">
        <v>18</v>
      </c>
      <c r="AV26" s="7" t="s">
        <v>51</v>
      </c>
      <c r="AW26" s="8">
        <v>40000000</v>
      </c>
      <c r="AX26" s="9">
        <v>2290</v>
      </c>
      <c r="AY26" s="10">
        <f t="shared" si="10"/>
        <v>-1.5053763440860179E-2</v>
      </c>
      <c r="AZ26" s="10">
        <f t="shared" si="11"/>
        <v>-1.5168221473171317E-2</v>
      </c>
      <c r="BD26" s="5">
        <v>18</v>
      </c>
      <c r="BE26" s="7" t="s">
        <v>51</v>
      </c>
      <c r="BF26" s="8">
        <v>16068000</v>
      </c>
      <c r="BG26" s="9">
        <v>10010</v>
      </c>
      <c r="BH26" s="10">
        <f t="shared" si="12"/>
        <v>-4.9701789264413598E-3</v>
      </c>
      <c r="BI26" s="10">
        <f t="shared" si="13"/>
        <v>-4.982571344463939E-3</v>
      </c>
    </row>
    <row r="27" spans="2:61" x14ac:dyDescent="0.4">
      <c r="B27" s="5">
        <v>19</v>
      </c>
      <c r="C27" s="7" t="s">
        <v>52</v>
      </c>
      <c r="D27" s="8">
        <v>24054799</v>
      </c>
      <c r="E27" s="9">
        <v>8860</v>
      </c>
      <c r="F27" s="10">
        <f t="shared" si="0"/>
        <v>1.2571428571428678E-2</v>
      </c>
      <c r="G27" s="10">
        <f t="shared" si="1"/>
        <v>1.2493064247466623E-2</v>
      </c>
      <c r="K27" s="5">
        <v>19</v>
      </c>
      <c r="L27" s="7" t="s">
        <v>52</v>
      </c>
      <c r="M27" s="8">
        <v>21929315</v>
      </c>
      <c r="N27" s="9">
        <v>11920</v>
      </c>
      <c r="O27" s="10">
        <f t="shared" si="2"/>
        <v>1.0169491525423791E-2</v>
      </c>
      <c r="P27" s="10">
        <f t="shared" si="3"/>
        <v>1.0118130165584686E-2</v>
      </c>
      <c r="T27" s="5">
        <v>19</v>
      </c>
      <c r="U27" s="7" t="s">
        <v>52</v>
      </c>
      <c r="V27" s="8">
        <v>26014161</v>
      </c>
      <c r="W27" s="9">
        <v>9730</v>
      </c>
      <c r="X27" s="10">
        <f t="shared" si="4"/>
        <v>-1.816347124117057E-2</v>
      </c>
      <c r="Y27" s="10">
        <f t="shared" si="5"/>
        <v>-1.8330452143982965E-2</v>
      </c>
      <c r="AC27" s="5">
        <v>19</v>
      </c>
      <c r="AD27" s="7" t="s">
        <v>52</v>
      </c>
      <c r="AE27" s="8">
        <v>34941838</v>
      </c>
      <c r="AF27" s="9">
        <v>20150</v>
      </c>
      <c r="AG27" s="10">
        <f t="shared" si="6"/>
        <v>-2.4752475247524774E-3</v>
      </c>
      <c r="AH27" s="10">
        <f t="shared" si="7"/>
        <v>-2.4783160144670898E-3</v>
      </c>
      <c r="AL27" s="5">
        <v>19</v>
      </c>
      <c r="AM27" s="7" t="s">
        <v>52</v>
      </c>
      <c r="AN27" s="8">
        <v>58492759</v>
      </c>
      <c r="AO27" s="9">
        <v>125200</v>
      </c>
      <c r="AP27" s="10">
        <f t="shared" si="8"/>
        <v>3.2051282051281937E-3</v>
      </c>
      <c r="AQ27" s="10">
        <f t="shared" si="9"/>
        <v>3.2000027306708497E-3</v>
      </c>
      <c r="AU27" s="5">
        <v>19</v>
      </c>
      <c r="AV27" s="7" t="s">
        <v>52</v>
      </c>
      <c r="AW27" s="8">
        <v>40000000</v>
      </c>
      <c r="AX27" s="9">
        <v>2325</v>
      </c>
      <c r="AY27" s="10">
        <f t="shared" si="10"/>
        <v>-6.4102564102563875E-3</v>
      </c>
      <c r="AZ27" s="10">
        <f t="shared" si="11"/>
        <v>-6.4308903302904025E-3</v>
      </c>
      <c r="BD27" s="5">
        <v>19</v>
      </c>
      <c r="BE27" s="7" t="s">
        <v>52</v>
      </c>
      <c r="BF27" s="8">
        <v>16068000</v>
      </c>
      <c r="BG27" s="9">
        <v>10060</v>
      </c>
      <c r="BH27" s="10">
        <f t="shared" si="12"/>
        <v>-8.8669950738916592E-3</v>
      </c>
      <c r="BI27" s="10">
        <f t="shared" si="13"/>
        <v>-8.9065408162032258E-3</v>
      </c>
    </row>
    <row r="28" spans="2:61" x14ac:dyDescent="0.4">
      <c r="B28" s="5">
        <v>20</v>
      </c>
      <c r="C28" s="7" t="s">
        <v>53</v>
      </c>
      <c r="D28" s="8">
        <v>24054799</v>
      </c>
      <c r="E28" s="9">
        <v>8750</v>
      </c>
      <c r="F28" s="10">
        <f t="shared" si="0"/>
        <v>5.5488540410132625E-2</v>
      </c>
      <c r="G28" s="10">
        <f t="shared" si="1"/>
        <v>5.4003731222319391E-2</v>
      </c>
      <c r="K28" s="5">
        <v>20</v>
      </c>
      <c r="L28" s="7" t="s">
        <v>53</v>
      </c>
      <c r="M28" s="8">
        <v>21929315</v>
      </c>
      <c r="N28" s="9">
        <v>11800</v>
      </c>
      <c r="O28" s="10">
        <f t="shared" si="2"/>
        <v>1.7241379310344751E-2</v>
      </c>
      <c r="P28" s="10">
        <f t="shared" si="3"/>
        <v>1.709443335930004E-2</v>
      </c>
      <c r="T28" s="5">
        <v>20</v>
      </c>
      <c r="U28" s="7" t="s">
        <v>53</v>
      </c>
      <c r="V28" s="8">
        <v>26014161</v>
      </c>
      <c r="W28" s="9">
        <v>9910</v>
      </c>
      <c r="X28" s="10">
        <f t="shared" si="4"/>
        <v>3.2291666666666607E-2</v>
      </c>
      <c r="Y28" s="10">
        <f t="shared" si="5"/>
        <v>3.1781249868106008E-2</v>
      </c>
      <c r="AC28" s="5">
        <v>20</v>
      </c>
      <c r="AD28" s="7" t="s">
        <v>53</v>
      </c>
      <c r="AE28" s="8">
        <v>34941838</v>
      </c>
      <c r="AF28" s="9">
        <v>20200</v>
      </c>
      <c r="AG28" s="10">
        <f t="shared" si="6"/>
        <v>2.746693794506605E-2</v>
      </c>
      <c r="AH28" s="10">
        <f t="shared" si="7"/>
        <v>2.7096489688138509E-2</v>
      </c>
      <c r="AL28" s="5">
        <v>20</v>
      </c>
      <c r="AM28" s="7" t="s">
        <v>53</v>
      </c>
      <c r="AN28" s="8">
        <v>58492759</v>
      </c>
      <c r="AO28" s="9">
        <v>124800</v>
      </c>
      <c r="AP28" s="10">
        <f t="shared" si="8"/>
        <v>-4.784688995215336E-3</v>
      </c>
      <c r="AQ28" s="10">
        <f t="shared" si="9"/>
        <v>-4.7961722634930551E-3</v>
      </c>
      <c r="AU28" s="5">
        <v>20</v>
      </c>
      <c r="AV28" s="7" t="s">
        <v>53</v>
      </c>
      <c r="AW28" s="8">
        <v>40000000</v>
      </c>
      <c r="AX28" s="9">
        <v>2340</v>
      </c>
      <c r="AY28" s="10">
        <f t="shared" si="10"/>
        <v>6.4516129032257119E-3</v>
      </c>
      <c r="AZ28" s="10">
        <f t="shared" si="11"/>
        <v>6.4308903302903314E-3</v>
      </c>
      <c r="BD28" s="5">
        <v>20</v>
      </c>
      <c r="BE28" s="7" t="s">
        <v>53</v>
      </c>
      <c r="BF28" s="8">
        <v>16068000</v>
      </c>
      <c r="BG28" s="9">
        <v>10150</v>
      </c>
      <c r="BH28" s="10">
        <f t="shared" si="12"/>
        <v>7.9443892750745704E-3</v>
      </c>
      <c r="BI28" s="10">
        <f t="shared" si="13"/>
        <v>7.9129987573255036E-3</v>
      </c>
    </row>
    <row r="29" spans="2:61" x14ac:dyDescent="0.4">
      <c r="B29" s="5">
        <v>21</v>
      </c>
      <c r="C29" s="7" t="s">
        <v>54</v>
      </c>
      <c r="D29" s="8">
        <v>24054799</v>
      </c>
      <c r="E29" s="9">
        <v>8290</v>
      </c>
      <c r="F29" s="10">
        <f t="shared" si="0"/>
        <v>7.2904009720533569E-3</v>
      </c>
      <c r="G29" s="10">
        <f t="shared" si="1"/>
        <v>7.2639544582250573E-3</v>
      </c>
      <c r="K29" s="5">
        <v>21</v>
      </c>
      <c r="L29" s="7" t="s">
        <v>54</v>
      </c>
      <c r="M29" s="8">
        <v>21929315</v>
      </c>
      <c r="N29" s="9">
        <v>11600</v>
      </c>
      <c r="O29" s="10">
        <f t="shared" si="2"/>
        <v>2.5929127052721768E-3</v>
      </c>
      <c r="P29" s="10">
        <f t="shared" si="3"/>
        <v>2.5895569067336767E-3</v>
      </c>
      <c r="T29" s="5">
        <v>21</v>
      </c>
      <c r="U29" s="7" t="s">
        <v>54</v>
      </c>
      <c r="V29" s="8">
        <v>26014161</v>
      </c>
      <c r="W29" s="9">
        <v>9600</v>
      </c>
      <c r="X29" s="10">
        <f t="shared" si="4"/>
        <v>-2.0408163265306145E-2</v>
      </c>
      <c r="Y29" s="10">
        <f t="shared" si="5"/>
        <v>-2.0619287202735703E-2</v>
      </c>
      <c r="AC29" s="5">
        <v>21</v>
      </c>
      <c r="AD29" s="7" t="s">
        <v>54</v>
      </c>
      <c r="AE29" s="8">
        <v>34941838</v>
      </c>
      <c r="AF29" s="9">
        <v>19660</v>
      </c>
      <c r="AG29" s="10">
        <f t="shared" si="6"/>
        <v>-3.1527093596059097E-2</v>
      </c>
      <c r="AH29" s="10">
        <f t="shared" si="7"/>
        <v>-3.2034771328721137E-2</v>
      </c>
      <c r="AL29" s="5">
        <v>21</v>
      </c>
      <c r="AM29" s="7" t="s">
        <v>54</v>
      </c>
      <c r="AN29" s="8">
        <v>58492759</v>
      </c>
      <c r="AO29" s="9">
        <v>125400</v>
      </c>
      <c r="AP29" s="10">
        <f t="shared" si="8"/>
        <v>8.8495575221239076E-3</v>
      </c>
      <c r="AQ29" s="10">
        <f t="shared" si="9"/>
        <v>8.8106296821549059E-3</v>
      </c>
      <c r="AU29" s="5">
        <v>21</v>
      </c>
      <c r="AV29" s="7" t="s">
        <v>54</v>
      </c>
      <c r="AW29" s="8">
        <v>40000000</v>
      </c>
      <c r="AX29" s="9">
        <v>2325</v>
      </c>
      <c r="AY29" s="10">
        <f t="shared" si="10"/>
        <v>-1.6913319238900604E-2</v>
      </c>
      <c r="AZ29" s="10">
        <f t="shared" si="11"/>
        <v>-1.7057982904576625E-2</v>
      </c>
      <c r="BD29" s="5">
        <v>21</v>
      </c>
      <c r="BE29" s="7" t="s">
        <v>54</v>
      </c>
      <c r="BF29" s="8">
        <v>16068000</v>
      </c>
      <c r="BG29" s="9">
        <v>10070</v>
      </c>
      <c r="BH29" s="10">
        <f t="shared" si="12"/>
        <v>-5.9230009871668043E-3</v>
      </c>
      <c r="BI29" s="10">
        <f t="shared" si="13"/>
        <v>-5.9406115301210592E-3</v>
      </c>
    </row>
    <row r="30" spans="2:61" x14ac:dyDescent="0.4">
      <c r="B30" s="5">
        <v>22</v>
      </c>
      <c r="C30" s="7" t="s">
        <v>55</v>
      </c>
      <c r="D30" s="8">
        <v>24054799</v>
      </c>
      <c r="E30" s="9">
        <v>8230</v>
      </c>
      <c r="F30" s="10">
        <f t="shared" si="0"/>
        <v>3.1328320802004983E-2</v>
      </c>
      <c r="G30" s="10">
        <f t="shared" si="1"/>
        <v>3.0847603227261017E-2</v>
      </c>
      <c r="K30" s="5">
        <v>22</v>
      </c>
      <c r="L30" s="7" t="s">
        <v>55</v>
      </c>
      <c r="M30" s="8">
        <v>21929315</v>
      </c>
      <c r="N30" s="9">
        <v>11570</v>
      </c>
      <c r="O30" s="10">
        <f t="shared" si="2"/>
        <v>2.9359430604982251E-2</v>
      </c>
      <c r="P30" s="10">
        <f t="shared" si="3"/>
        <v>2.8936696740040232E-2</v>
      </c>
      <c r="T30" s="5">
        <v>22</v>
      </c>
      <c r="U30" s="7" t="s">
        <v>55</v>
      </c>
      <c r="V30" s="8">
        <v>26014161</v>
      </c>
      <c r="W30" s="9">
        <v>9800</v>
      </c>
      <c r="X30" s="10">
        <f t="shared" si="4"/>
        <v>5.8315334773218153E-2</v>
      </c>
      <c r="Y30" s="10">
        <f t="shared" si="5"/>
        <v>5.6678337018438232E-2</v>
      </c>
      <c r="AC30" s="5">
        <v>22</v>
      </c>
      <c r="AD30" s="7" t="s">
        <v>55</v>
      </c>
      <c r="AE30" s="8">
        <v>34941838</v>
      </c>
      <c r="AF30" s="9">
        <v>20300</v>
      </c>
      <c r="AG30" s="10">
        <f t="shared" si="6"/>
        <v>2.4734982332155431E-2</v>
      </c>
      <c r="AH30" s="10">
        <f t="shared" si="7"/>
        <v>2.4434025337282041E-2</v>
      </c>
      <c r="AL30" s="5">
        <v>22</v>
      </c>
      <c r="AM30" s="7" t="s">
        <v>55</v>
      </c>
      <c r="AN30" s="8">
        <v>58492759</v>
      </c>
      <c r="AO30" s="9">
        <v>124300</v>
      </c>
      <c r="AP30" s="10">
        <f t="shared" si="8"/>
        <v>-6.3948840927258166E-3</v>
      </c>
      <c r="AQ30" s="10">
        <f t="shared" si="9"/>
        <v>-6.4154189562000245E-3</v>
      </c>
      <c r="AU30" s="5">
        <v>22</v>
      </c>
      <c r="AV30" s="7" t="s">
        <v>55</v>
      </c>
      <c r="AW30" s="8">
        <v>40000000</v>
      </c>
      <c r="AX30" s="9">
        <v>2365</v>
      </c>
      <c r="AY30" s="10">
        <f t="shared" si="10"/>
        <v>1.93965517241379E-2</v>
      </c>
      <c r="AZ30" s="10">
        <f t="shared" si="11"/>
        <v>1.9210836265677673E-2</v>
      </c>
      <c r="BD30" s="5">
        <v>22</v>
      </c>
      <c r="BE30" s="7" t="s">
        <v>55</v>
      </c>
      <c r="BF30" s="8">
        <v>16068000</v>
      </c>
      <c r="BG30" s="9">
        <v>10130</v>
      </c>
      <c r="BH30" s="10">
        <f t="shared" si="12"/>
        <v>1.0978043912175606E-2</v>
      </c>
      <c r="BI30" s="10">
        <f t="shared" si="13"/>
        <v>1.0918222603873229E-2</v>
      </c>
    </row>
    <row r="31" spans="2:61" x14ac:dyDescent="0.4">
      <c r="B31" s="5">
        <v>23</v>
      </c>
      <c r="C31" s="7" t="s">
        <v>56</v>
      </c>
      <c r="D31" s="8">
        <v>24054799</v>
      </c>
      <c r="E31" s="9">
        <v>7980</v>
      </c>
      <c r="F31" s="10">
        <f t="shared" si="0"/>
        <v>-7.2093023255813904E-2</v>
      </c>
      <c r="G31" s="10">
        <f t="shared" si="1"/>
        <v>-7.4823791797744593E-2</v>
      </c>
      <c r="K31" s="5">
        <v>23</v>
      </c>
      <c r="L31" s="7" t="s">
        <v>56</v>
      </c>
      <c r="M31" s="8">
        <v>21929315</v>
      </c>
      <c r="N31" s="9">
        <v>11240</v>
      </c>
      <c r="O31" s="10">
        <f t="shared" si="2"/>
        <v>2.67618198037467E-3</v>
      </c>
      <c r="P31" s="10">
        <f t="shared" si="3"/>
        <v>2.672607381476478E-3</v>
      </c>
      <c r="T31" s="5">
        <v>23</v>
      </c>
      <c r="U31" s="7" t="s">
        <v>56</v>
      </c>
      <c r="V31" s="8">
        <v>26014161</v>
      </c>
      <c r="W31" s="9">
        <v>9260</v>
      </c>
      <c r="X31" s="10">
        <f t="shared" si="4"/>
        <v>-9.6256684491978772E-3</v>
      </c>
      <c r="Y31" s="10">
        <f t="shared" si="5"/>
        <v>-9.6722946425076319E-3</v>
      </c>
      <c r="AC31" s="5">
        <v>23</v>
      </c>
      <c r="AD31" s="7" t="s">
        <v>56</v>
      </c>
      <c r="AE31" s="8">
        <v>34941838</v>
      </c>
      <c r="AF31" s="9">
        <v>19810</v>
      </c>
      <c r="AG31" s="10">
        <f t="shared" si="6"/>
        <v>-1.1970074812967635E-2</v>
      </c>
      <c r="AH31" s="10">
        <f t="shared" si="7"/>
        <v>-1.2042293042118684E-2</v>
      </c>
      <c r="AL31" s="5">
        <v>23</v>
      </c>
      <c r="AM31" s="7" t="s">
        <v>56</v>
      </c>
      <c r="AN31" s="8">
        <v>58492759</v>
      </c>
      <c r="AO31" s="9">
        <v>125100</v>
      </c>
      <c r="AP31" s="10">
        <f t="shared" si="8"/>
        <v>-1.8823529411764683E-2</v>
      </c>
      <c r="AQ31" s="10">
        <f t="shared" si="9"/>
        <v>-1.9002947125615358E-2</v>
      </c>
      <c r="AU31" s="5">
        <v>23</v>
      </c>
      <c r="AV31" s="7" t="s">
        <v>56</v>
      </c>
      <c r="AW31" s="8">
        <v>40000000</v>
      </c>
      <c r="AX31" s="9">
        <v>2320</v>
      </c>
      <c r="AY31" s="10">
        <f t="shared" si="10"/>
        <v>-8.5470085470085166E-3</v>
      </c>
      <c r="AZ31" s="10">
        <f t="shared" si="11"/>
        <v>-8.5837436913914419E-3</v>
      </c>
      <c r="BD31" s="5">
        <v>23</v>
      </c>
      <c r="BE31" s="7" t="s">
        <v>56</v>
      </c>
      <c r="BF31" s="8">
        <v>16068000</v>
      </c>
      <c r="BG31" s="9">
        <v>10020</v>
      </c>
      <c r="BH31" s="10">
        <f t="shared" si="12"/>
        <v>-9.8814229249012397E-3</v>
      </c>
      <c r="BI31" s="10">
        <f t="shared" si="13"/>
        <v>-9.9305682026007997E-3</v>
      </c>
    </row>
    <row r="32" spans="2:61" x14ac:dyDescent="0.4">
      <c r="B32" s="5">
        <v>24</v>
      </c>
      <c r="C32" s="7" t="s">
        <v>57</v>
      </c>
      <c r="D32" s="8">
        <v>24054799</v>
      </c>
      <c r="E32" s="9">
        <v>8600</v>
      </c>
      <c r="F32" s="10">
        <f t="shared" si="0"/>
        <v>2.1377672209026199E-2</v>
      </c>
      <c r="G32" s="10">
        <f t="shared" si="1"/>
        <v>2.1152375005226761E-2</v>
      </c>
      <c r="K32" s="5">
        <v>24</v>
      </c>
      <c r="L32" s="7" t="s">
        <v>57</v>
      </c>
      <c r="M32" s="8">
        <v>21929315</v>
      </c>
      <c r="N32" s="9">
        <v>11210</v>
      </c>
      <c r="O32" s="10">
        <f t="shared" si="2"/>
        <v>1.7873100983021306E-3</v>
      </c>
      <c r="P32" s="10">
        <f t="shared" si="3"/>
        <v>1.7857147602347531E-3</v>
      </c>
      <c r="T32" s="5">
        <v>24</v>
      </c>
      <c r="U32" s="7" t="s">
        <v>57</v>
      </c>
      <c r="V32" s="8">
        <v>26014161</v>
      </c>
      <c r="W32" s="9">
        <v>9350</v>
      </c>
      <c r="X32" s="10">
        <f t="shared" si="4"/>
        <v>6.4585575888052027E-3</v>
      </c>
      <c r="Y32" s="10">
        <f t="shared" si="5"/>
        <v>6.4377904748485169E-3</v>
      </c>
      <c r="AC32" s="5">
        <v>24</v>
      </c>
      <c r="AD32" s="7" t="s">
        <v>57</v>
      </c>
      <c r="AE32" s="8">
        <v>34941838</v>
      </c>
      <c r="AF32" s="9">
        <v>20050</v>
      </c>
      <c r="AG32" s="10">
        <f t="shared" si="6"/>
        <v>3.084832904884327E-2</v>
      </c>
      <c r="AH32" s="10">
        <f t="shared" si="7"/>
        <v>3.0382083688122972E-2</v>
      </c>
      <c r="AL32" s="5">
        <v>24</v>
      </c>
      <c r="AM32" s="7" t="s">
        <v>57</v>
      </c>
      <c r="AN32" s="8">
        <v>58492759</v>
      </c>
      <c r="AO32" s="9">
        <v>127500</v>
      </c>
      <c r="AP32" s="10">
        <f t="shared" si="8"/>
        <v>8.7025316455695556E-3</v>
      </c>
      <c r="AQ32" s="10">
        <f t="shared" si="9"/>
        <v>8.6648828857237258E-3</v>
      </c>
      <c r="AU32" s="5">
        <v>24</v>
      </c>
      <c r="AV32" s="7" t="s">
        <v>57</v>
      </c>
      <c r="AW32" s="8">
        <v>40000000</v>
      </c>
      <c r="AX32" s="9">
        <v>2340</v>
      </c>
      <c r="AY32" s="10">
        <f t="shared" si="10"/>
        <v>2.6315789473684292E-2</v>
      </c>
      <c r="AZ32" s="10">
        <f t="shared" si="11"/>
        <v>2.5975486403260736E-2</v>
      </c>
      <c r="BD32" s="5">
        <v>24</v>
      </c>
      <c r="BE32" s="7" t="s">
        <v>57</v>
      </c>
      <c r="BF32" s="8">
        <v>16068000</v>
      </c>
      <c r="BG32" s="9">
        <v>10120</v>
      </c>
      <c r="BH32" s="10">
        <f t="shared" si="12"/>
        <v>2.1190716448032276E-2</v>
      </c>
      <c r="BI32" s="10">
        <f t="shared" si="13"/>
        <v>2.096931551742285E-2</v>
      </c>
    </row>
    <row r="33" spans="2:61" x14ac:dyDescent="0.4">
      <c r="B33" s="5">
        <v>25</v>
      </c>
      <c r="C33" s="7" t="s">
        <v>58</v>
      </c>
      <c r="D33" s="8">
        <v>24054799</v>
      </c>
      <c r="E33" s="9">
        <v>8420</v>
      </c>
      <c r="F33" s="10">
        <f t="shared" si="0"/>
        <v>-2.6589595375722586E-2</v>
      </c>
      <c r="G33" s="10">
        <f t="shared" si="1"/>
        <v>-2.6949492689552639E-2</v>
      </c>
      <c r="K33" s="5">
        <v>25</v>
      </c>
      <c r="L33" s="7" t="s">
        <v>58</v>
      </c>
      <c r="M33" s="8">
        <v>21929315</v>
      </c>
      <c r="N33" s="9">
        <v>11190</v>
      </c>
      <c r="O33" s="10">
        <f t="shared" si="2"/>
        <v>-6.2166962699822248E-3</v>
      </c>
      <c r="P33" s="10">
        <f t="shared" si="3"/>
        <v>-6.236100387710445E-3</v>
      </c>
      <c r="T33" s="5">
        <v>25</v>
      </c>
      <c r="U33" s="7" t="s">
        <v>58</v>
      </c>
      <c r="V33" s="8">
        <v>26014161</v>
      </c>
      <c r="W33" s="9">
        <v>9290</v>
      </c>
      <c r="X33" s="10">
        <f t="shared" si="4"/>
        <v>-4.8155737704917989E-2</v>
      </c>
      <c r="Y33" s="10">
        <f t="shared" si="5"/>
        <v>-4.9353847599253924E-2</v>
      </c>
      <c r="AC33" s="5">
        <v>25</v>
      </c>
      <c r="AD33" s="7" t="s">
        <v>58</v>
      </c>
      <c r="AE33" s="8">
        <v>34941838</v>
      </c>
      <c r="AF33" s="9">
        <v>19450</v>
      </c>
      <c r="AG33" s="10">
        <f t="shared" si="6"/>
        <v>-2.6039058587881803E-2</v>
      </c>
      <c r="AH33" s="10">
        <f t="shared" si="7"/>
        <v>-2.6384077363268529E-2</v>
      </c>
      <c r="AL33" s="5">
        <v>25</v>
      </c>
      <c r="AM33" s="7" t="s">
        <v>58</v>
      </c>
      <c r="AN33" s="8">
        <v>58492759</v>
      </c>
      <c r="AO33" s="9">
        <v>126400</v>
      </c>
      <c r="AP33" s="10">
        <f t="shared" si="8"/>
        <v>-3.4377387318563768E-2</v>
      </c>
      <c r="AQ33" s="10">
        <f t="shared" si="9"/>
        <v>-3.4982191203097174E-2</v>
      </c>
      <c r="AU33" s="5">
        <v>25</v>
      </c>
      <c r="AV33" s="7" t="s">
        <v>58</v>
      </c>
      <c r="AW33" s="8">
        <v>40000000</v>
      </c>
      <c r="AX33" s="9">
        <v>2280</v>
      </c>
      <c r="AY33" s="10">
        <f t="shared" si="10"/>
        <v>-1.9354838709677469E-2</v>
      </c>
      <c r="AZ33" s="10">
        <f t="shared" si="11"/>
        <v>-1.9544596072970283E-2</v>
      </c>
      <c r="BD33" s="5">
        <v>25</v>
      </c>
      <c r="BE33" s="7" t="s">
        <v>58</v>
      </c>
      <c r="BF33" s="8">
        <v>16068000</v>
      </c>
      <c r="BG33" s="9">
        <v>9910</v>
      </c>
      <c r="BH33" s="10">
        <f t="shared" si="12"/>
        <v>-5.6190476190476235E-2</v>
      </c>
      <c r="BI33" s="10">
        <f t="shared" si="13"/>
        <v>-5.7830908821581116E-2</v>
      </c>
    </row>
    <row r="34" spans="2:61" x14ac:dyDescent="0.4">
      <c r="B34" s="5">
        <v>26</v>
      </c>
      <c r="C34" s="7" t="s">
        <v>59</v>
      </c>
      <c r="D34" s="8">
        <v>24054799</v>
      </c>
      <c r="E34" s="9">
        <v>8650</v>
      </c>
      <c r="F34" s="10">
        <f t="shared" si="0"/>
        <v>-2.2598870056497189E-2</v>
      </c>
      <c r="G34" s="10">
        <f t="shared" si="1"/>
        <v>-2.2858138076050208E-2</v>
      </c>
      <c r="K34" s="5">
        <v>26</v>
      </c>
      <c r="L34" s="7" t="s">
        <v>59</v>
      </c>
      <c r="M34" s="8">
        <v>21929315</v>
      </c>
      <c r="N34" s="9">
        <v>11260</v>
      </c>
      <c r="O34" s="10">
        <f t="shared" si="2"/>
        <v>-3.5398230088495852E-3</v>
      </c>
      <c r="P34" s="10">
        <f t="shared" si="3"/>
        <v>-3.5461030067505889E-3</v>
      </c>
      <c r="T34" s="5">
        <v>26</v>
      </c>
      <c r="U34" s="7" t="s">
        <v>59</v>
      </c>
      <c r="V34" s="8">
        <v>26014161</v>
      </c>
      <c r="W34" s="9">
        <v>9760</v>
      </c>
      <c r="X34" s="10">
        <f t="shared" si="4"/>
        <v>-9.1370558375634126E-3</v>
      </c>
      <c r="Y34" s="10">
        <f t="shared" si="5"/>
        <v>-9.1790547589963561E-3</v>
      </c>
      <c r="AC34" s="5">
        <v>26</v>
      </c>
      <c r="AD34" s="7" t="s">
        <v>59</v>
      </c>
      <c r="AE34" s="8">
        <v>34941838</v>
      </c>
      <c r="AF34" s="9">
        <v>19970</v>
      </c>
      <c r="AG34" s="10">
        <f t="shared" si="6"/>
        <v>-1.4999999999999458E-3</v>
      </c>
      <c r="AH34" s="10">
        <f t="shared" si="7"/>
        <v>-1.5011261262670914E-3</v>
      </c>
      <c r="AL34" s="5">
        <v>26</v>
      </c>
      <c r="AM34" s="7" t="s">
        <v>59</v>
      </c>
      <c r="AN34" s="8">
        <v>58492759</v>
      </c>
      <c r="AO34" s="9">
        <v>130900</v>
      </c>
      <c r="AP34" s="10">
        <f t="shared" si="8"/>
        <v>-2.604166666666663E-2</v>
      </c>
      <c r="AQ34" s="10">
        <f t="shared" si="9"/>
        <v>-2.6386755173194887E-2</v>
      </c>
      <c r="AU34" s="5">
        <v>26</v>
      </c>
      <c r="AV34" s="7" t="s">
        <v>59</v>
      </c>
      <c r="AW34" s="8">
        <v>40000000</v>
      </c>
      <c r="AX34" s="9">
        <v>2325</v>
      </c>
      <c r="AY34" s="10">
        <f t="shared" si="10"/>
        <v>-2.1052631578947323E-2</v>
      </c>
      <c r="AZ34" s="10">
        <f t="shared" si="11"/>
        <v>-2.1277398447284851E-2</v>
      </c>
      <c r="BD34" s="5">
        <v>26</v>
      </c>
      <c r="BE34" s="7" t="s">
        <v>59</v>
      </c>
      <c r="BF34" s="8">
        <v>16068000</v>
      </c>
      <c r="BG34" s="9">
        <v>10500</v>
      </c>
      <c r="BH34" s="10">
        <f t="shared" si="12"/>
        <v>-4.6321525885558601E-2</v>
      </c>
      <c r="BI34" s="10">
        <f t="shared" si="13"/>
        <v>-4.7428693571110923E-2</v>
      </c>
    </row>
    <row r="35" spans="2:61" x14ac:dyDescent="0.4">
      <c r="B35" s="5">
        <v>27</v>
      </c>
      <c r="C35" s="7" t="s">
        <v>60</v>
      </c>
      <c r="D35" s="8">
        <v>24054799</v>
      </c>
      <c r="E35" s="9">
        <v>8850</v>
      </c>
      <c r="F35" s="10">
        <f t="shared" si="0"/>
        <v>-2.6402640264026389E-2</v>
      </c>
      <c r="G35" s="10">
        <f t="shared" si="1"/>
        <v>-2.6757449169549304E-2</v>
      </c>
      <c r="K35" s="5">
        <v>27</v>
      </c>
      <c r="L35" s="7" t="s">
        <v>60</v>
      </c>
      <c r="M35" s="8">
        <v>21929315</v>
      </c>
      <c r="N35" s="9">
        <v>11300</v>
      </c>
      <c r="O35" s="10">
        <f t="shared" si="2"/>
        <v>-1.2237762237762184E-2</v>
      </c>
      <c r="P35" s="10">
        <f t="shared" si="3"/>
        <v>-1.2313260233356901E-2</v>
      </c>
      <c r="T35" s="5">
        <v>27</v>
      </c>
      <c r="U35" s="7" t="s">
        <v>60</v>
      </c>
      <c r="V35" s="8">
        <v>26014161</v>
      </c>
      <c r="W35" s="9">
        <v>9850</v>
      </c>
      <c r="X35" s="10">
        <f t="shared" si="4"/>
        <v>-8.8806660499537449E-2</v>
      </c>
      <c r="Y35" s="10">
        <f t="shared" si="5"/>
        <v>-9.3000176467119375E-2</v>
      </c>
      <c r="AC35" s="5">
        <v>27</v>
      </c>
      <c r="AD35" s="7" t="s">
        <v>60</v>
      </c>
      <c r="AE35" s="8">
        <v>34941838</v>
      </c>
      <c r="AF35" s="9">
        <v>20000</v>
      </c>
      <c r="AG35" s="10">
        <f t="shared" si="6"/>
        <v>-2.676399026763987E-2</v>
      </c>
      <c r="AH35" s="10">
        <f t="shared" si="7"/>
        <v>-2.7128667388252585E-2</v>
      </c>
      <c r="AL35" s="5">
        <v>27</v>
      </c>
      <c r="AM35" s="7" t="s">
        <v>60</v>
      </c>
      <c r="AN35" s="8">
        <v>58492759</v>
      </c>
      <c r="AO35" s="9">
        <v>134400</v>
      </c>
      <c r="AP35" s="10">
        <f t="shared" si="8"/>
        <v>-2.9673590504450953E-3</v>
      </c>
      <c r="AQ35" s="10">
        <f t="shared" si="9"/>
        <v>-2.9717703891574817E-3</v>
      </c>
      <c r="AU35" s="5">
        <v>27</v>
      </c>
      <c r="AV35" s="7" t="s">
        <v>60</v>
      </c>
      <c r="AW35" s="8">
        <v>40000000</v>
      </c>
      <c r="AX35" s="9">
        <v>2375</v>
      </c>
      <c r="AY35" s="10">
        <f t="shared" si="10"/>
        <v>-1.041666666666663E-2</v>
      </c>
      <c r="AZ35" s="10">
        <f t="shared" si="11"/>
        <v>-1.0471299867295366E-2</v>
      </c>
      <c r="BD35" s="5">
        <v>27</v>
      </c>
      <c r="BE35" s="7" t="s">
        <v>60</v>
      </c>
      <c r="BF35" s="8">
        <v>16068000</v>
      </c>
      <c r="BG35" s="9">
        <v>11010</v>
      </c>
      <c r="BH35" s="10">
        <f t="shared" si="12"/>
        <v>3.672316384180796E-2</v>
      </c>
      <c r="BI35" s="10">
        <f t="shared" si="13"/>
        <v>3.606493492079587E-2</v>
      </c>
    </row>
    <row r="36" spans="2:61" x14ac:dyDescent="0.4">
      <c r="B36" s="5">
        <v>28</v>
      </c>
      <c r="C36" s="7" t="s">
        <v>61</v>
      </c>
      <c r="D36" s="8">
        <v>24054799</v>
      </c>
      <c r="E36" s="9">
        <v>9090</v>
      </c>
      <c r="F36" s="10">
        <f t="shared" si="0"/>
        <v>7.1933962264151052E-2</v>
      </c>
      <c r="G36" s="10">
        <f t="shared" si="1"/>
        <v>6.946445838557587E-2</v>
      </c>
      <c r="K36" s="5">
        <v>28</v>
      </c>
      <c r="L36" s="7" t="s">
        <v>61</v>
      </c>
      <c r="M36" s="8">
        <v>21929315</v>
      </c>
      <c r="N36" s="9">
        <v>11440</v>
      </c>
      <c r="O36" s="10">
        <f t="shared" si="2"/>
        <v>2.1428571428571352E-2</v>
      </c>
      <c r="P36" s="10">
        <f t="shared" si="3"/>
        <v>2.1202207650602906E-2</v>
      </c>
      <c r="T36" s="5">
        <v>28</v>
      </c>
      <c r="U36" s="7" t="s">
        <v>61</v>
      </c>
      <c r="V36" s="8">
        <v>26014161</v>
      </c>
      <c r="W36" s="9">
        <v>10810</v>
      </c>
      <c r="X36" s="10">
        <f t="shared" si="4"/>
        <v>0.16612729234088452</v>
      </c>
      <c r="Y36" s="10">
        <f t="shared" si="5"/>
        <v>0.15368825207335307</v>
      </c>
      <c r="AC36" s="5">
        <v>28</v>
      </c>
      <c r="AD36" s="7" t="s">
        <v>61</v>
      </c>
      <c r="AE36" s="8">
        <v>34941838</v>
      </c>
      <c r="AF36" s="9">
        <v>20550</v>
      </c>
      <c r="AG36" s="10">
        <f t="shared" si="6"/>
        <v>1.7326732673267342E-2</v>
      </c>
      <c r="AH36" s="10">
        <f t="shared" si="7"/>
        <v>1.7178336535084552E-2</v>
      </c>
      <c r="AL36" s="5">
        <v>28</v>
      </c>
      <c r="AM36" s="7" t="s">
        <v>61</v>
      </c>
      <c r="AN36" s="8">
        <v>58492759</v>
      </c>
      <c r="AO36" s="9">
        <v>134800</v>
      </c>
      <c r="AP36" s="10">
        <f t="shared" si="8"/>
        <v>5.5599060297572445E-2</v>
      </c>
      <c r="AQ36" s="10">
        <f t="shared" si="9"/>
        <v>5.4108435439713061E-2</v>
      </c>
      <c r="AU36" s="5">
        <v>28</v>
      </c>
      <c r="AV36" s="7" t="s">
        <v>61</v>
      </c>
      <c r="AW36" s="8">
        <v>40000000</v>
      </c>
      <c r="AX36" s="9">
        <v>2400</v>
      </c>
      <c r="AY36" s="10">
        <f t="shared" si="10"/>
        <v>3.8961038961038863E-2</v>
      </c>
      <c r="AZ36" s="10">
        <f t="shared" si="11"/>
        <v>3.8221212820197671E-2</v>
      </c>
      <c r="BD36" s="5">
        <v>28</v>
      </c>
      <c r="BE36" s="7" t="s">
        <v>61</v>
      </c>
      <c r="BF36" s="8">
        <v>16068000</v>
      </c>
      <c r="BG36" s="9">
        <v>10620</v>
      </c>
      <c r="BH36" s="10">
        <f t="shared" si="12"/>
        <v>4.4247787610619538E-2</v>
      </c>
      <c r="BI36" s="10">
        <f t="shared" si="13"/>
        <v>4.3296805753324258E-2</v>
      </c>
    </row>
    <row r="37" spans="2:61" x14ac:dyDescent="0.4">
      <c r="B37" s="5">
        <v>29</v>
      </c>
      <c r="C37" s="7" t="s">
        <v>62</v>
      </c>
      <c r="D37" s="8">
        <v>24054799</v>
      </c>
      <c r="E37" s="9">
        <v>8480</v>
      </c>
      <c r="F37" s="10">
        <f t="shared" si="0"/>
        <v>1.6786570743405171E-2</v>
      </c>
      <c r="G37" s="10">
        <f t="shared" si="1"/>
        <v>1.664723343315621E-2</v>
      </c>
      <c r="K37" s="5">
        <v>29</v>
      </c>
      <c r="L37" s="7" t="s">
        <v>62</v>
      </c>
      <c r="M37" s="8">
        <v>21929315</v>
      </c>
      <c r="N37" s="9">
        <v>11200</v>
      </c>
      <c r="O37" s="10">
        <f t="shared" si="2"/>
        <v>9.009009009008917E-3</v>
      </c>
      <c r="P37" s="10">
        <f t="shared" si="3"/>
        <v>8.9686699827603161E-3</v>
      </c>
      <c r="T37" s="5">
        <v>29</v>
      </c>
      <c r="U37" s="7" t="s">
        <v>62</v>
      </c>
      <c r="V37" s="8">
        <v>26014161</v>
      </c>
      <c r="W37" s="9">
        <v>9270</v>
      </c>
      <c r="X37" s="10">
        <f t="shared" si="4"/>
        <v>4.8642533936651633E-2</v>
      </c>
      <c r="Y37" s="10">
        <f t="shared" si="5"/>
        <v>4.7496502928211767E-2</v>
      </c>
      <c r="AC37" s="5">
        <v>29</v>
      </c>
      <c r="AD37" s="7" t="s">
        <v>62</v>
      </c>
      <c r="AE37" s="8">
        <v>34941838</v>
      </c>
      <c r="AF37" s="9">
        <v>20200</v>
      </c>
      <c r="AG37" s="10">
        <f t="shared" si="6"/>
        <v>-3.349282296650713E-2</v>
      </c>
      <c r="AH37" s="10">
        <f t="shared" si="7"/>
        <v>-3.4066554563606195E-2</v>
      </c>
      <c r="AL37" s="5">
        <v>29</v>
      </c>
      <c r="AM37" s="7" t="s">
        <v>62</v>
      </c>
      <c r="AN37" s="8">
        <v>58492759</v>
      </c>
      <c r="AO37" s="9">
        <v>127700</v>
      </c>
      <c r="AP37" s="10">
        <f t="shared" si="8"/>
        <v>3.3171521035598728E-2</v>
      </c>
      <c r="AQ37" s="10">
        <f t="shared" si="9"/>
        <v>3.263321801490323E-2</v>
      </c>
      <c r="AU37" s="5">
        <v>29</v>
      </c>
      <c r="AV37" s="7" t="s">
        <v>62</v>
      </c>
      <c r="AW37" s="8">
        <v>40000000</v>
      </c>
      <c r="AX37" s="9">
        <v>2310</v>
      </c>
      <c r="AY37" s="10">
        <f t="shared" si="10"/>
        <v>1.7621145374449254E-2</v>
      </c>
      <c r="AZ37" s="10">
        <f t="shared" si="11"/>
        <v>1.746769304039078E-2</v>
      </c>
      <c r="BD37" s="5">
        <v>29</v>
      </c>
      <c r="BE37" s="7" t="s">
        <v>62</v>
      </c>
      <c r="BF37" s="8">
        <v>16068000</v>
      </c>
      <c r="BG37" s="9">
        <v>10170</v>
      </c>
      <c r="BH37" s="10">
        <f t="shared" si="12"/>
        <v>5.0619834710743827E-2</v>
      </c>
      <c r="BI37" s="10">
        <f t="shared" si="13"/>
        <v>4.9380308771982961E-2</v>
      </c>
    </row>
    <row r="38" spans="2:61" x14ac:dyDescent="0.4">
      <c r="B38" s="5">
        <v>30</v>
      </c>
      <c r="C38" s="7" t="s">
        <v>63</v>
      </c>
      <c r="D38" s="8">
        <v>24054799</v>
      </c>
      <c r="E38" s="9">
        <v>8340</v>
      </c>
      <c r="F38" s="10">
        <f t="shared" si="0"/>
        <v>-4.0276179516685828E-2</v>
      </c>
      <c r="G38" s="10">
        <f t="shared" si="1"/>
        <v>-4.110972290664526E-2</v>
      </c>
      <c r="K38" s="5">
        <v>30</v>
      </c>
      <c r="L38" s="7" t="s">
        <v>63</v>
      </c>
      <c r="M38" s="8">
        <v>21929315</v>
      </c>
      <c r="N38" s="9">
        <v>11100</v>
      </c>
      <c r="O38" s="10">
        <f t="shared" si="2"/>
        <v>-1.0695187165775444E-2</v>
      </c>
      <c r="P38" s="10">
        <f t="shared" si="3"/>
        <v>-1.0752791776261849E-2</v>
      </c>
      <c r="T38" s="5">
        <v>30</v>
      </c>
      <c r="U38" s="7" t="s">
        <v>63</v>
      </c>
      <c r="V38" s="8">
        <v>26014161</v>
      </c>
      <c r="W38" s="9">
        <v>8840</v>
      </c>
      <c r="X38" s="10">
        <f t="shared" si="4"/>
        <v>-1.8867924528301883E-2</v>
      </c>
      <c r="Y38" s="10">
        <f t="shared" si="5"/>
        <v>-1.9048194970694474E-2</v>
      </c>
      <c r="AC38" s="5">
        <v>30</v>
      </c>
      <c r="AD38" s="7" t="s">
        <v>63</v>
      </c>
      <c r="AE38" s="8">
        <v>34941838</v>
      </c>
      <c r="AF38" s="9">
        <v>20900</v>
      </c>
      <c r="AG38" s="10">
        <f t="shared" si="6"/>
        <v>-4.1284403669724745E-2</v>
      </c>
      <c r="AH38" s="10">
        <f t="shared" si="7"/>
        <v>-4.2160810824277979E-2</v>
      </c>
      <c r="AL38" s="5">
        <v>30</v>
      </c>
      <c r="AM38" s="7" t="s">
        <v>63</v>
      </c>
      <c r="AN38" s="8">
        <v>58492759</v>
      </c>
      <c r="AO38" s="9">
        <v>123600</v>
      </c>
      <c r="AP38" s="10">
        <f t="shared" si="8"/>
        <v>-2.8301886792452824E-2</v>
      </c>
      <c r="AQ38" s="10">
        <f t="shared" si="9"/>
        <v>-2.8710105882431367E-2</v>
      </c>
      <c r="AU38" s="5">
        <v>30</v>
      </c>
      <c r="AV38" s="7" t="s">
        <v>63</v>
      </c>
      <c r="AW38" s="8">
        <v>40000000</v>
      </c>
      <c r="AX38" s="9">
        <v>2270</v>
      </c>
      <c r="AY38" s="10">
        <f t="shared" si="10"/>
        <v>-1.9438444924406051E-2</v>
      </c>
      <c r="AZ38" s="10">
        <f t="shared" si="11"/>
        <v>-1.9629856044886092E-2</v>
      </c>
      <c r="BD38" s="5">
        <v>30</v>
      </c>
      <c r="BE38" s="7" t="s">
        <v>63</v>
      </c>
      <c r="BF38" s="8">
        <v>16068000</v>
      </c>
      <c r="BG38" s="9">
        <v>9680</v>
      </c>
      <c r="BH38" s="10">
        <f t="shared" si="12"/>
        <v>-3.2000000000000028E-2</v>
      </c>
      <c r="BI38" s="10">
        <f t="shared" si="13"/>
        <v>-3.2523191705560062E-2</v>
      </c>
    </row>
    <row r="39" spans="2:61" x14ac:dyDescent="0.4">
      <c r="B39" s="5">
        <v>31</v>
      </c>
      <c r="C39" s="7" t="s">
        <v>64</v>
      </c>
      <c r="D39" s="8">
        <v>24054799</v>
      </c>
      <c r="E39" s="9">
        <v>8690</v>
      </c>
      <c r="F39" s="10">
        <f t="shared" si="0"/>
        <v>-2.2962112514350874E-3</v>
      </c>
      <c r="G39" s="10">
        <f t="shared" si="1"/>
        <v>-2.2988515871107127E-3</v>
      </c>
      <c r="K39" s="5">
        <v>31</v>
      </c>
      <c r="L39" s="7" t="s">
        <v>64</v>
      </c>
      <c r="M39" s="8">
        <v>21929315</v>
      </c>
      <c r="N39" s="9">
        <v>11220</v>
      </c>
      <c r="O39" s="10">
        <f t="shared" si="2"/>
        <v>-2.666666666666706E-3</v>
      </c>
      <c r="P39" s="10">
        <f t="shared" si="3"/>
        <v>-2.6702285558789208E-3</v>
      </c>
      <c r="T39" s="5">
        <v>31</v>
      </c>
      <c r="U39" s="7" t="s">
        <v>64</v>
      </c>
      <c r="V39" s="8">
        <v>26014161</v>
      </c>
      <c r="W39" s="9">
        <v>9010</v>
      </c>
      <c r="X39" s="10">
        <f t="shared" si="4"/>
        <v>-1.1086474501108556E-3</v>
      </c>
      <c r="Y39" s="10">
        <f t="shared" si="5"/>
        <v>-1.1092624542857338E-3</v>
      </c>
      <c r="AC39" s="5">
        <v>31</v>
      </c>
      <c r="AD39" s="7" t="s">
        <v>64</v>
      </c>
      <c r="AE39" s="8">
        <v>34941838</v>
      </c>
      <c r="AF39" s="9">
        <v>21800</v>
      </c>
      <c r="AG39" s="10">
        <f t="shared" si="6"/>
        <v>-3.9647577092510988E-2</v>
      </c>
      <c r="AH39" s="10">
        <f t="shared" si="7"/>
        <v>-4.0454954692313638E-2</v>
      </c>
      <c r="AL39" s="5">
        <v>31</v>
      </c>
      <c r="AM39" s="7" t="s">
        <v>64</v>
      </c>
      <c r="AN39" s="8">
        <v>58492759</v>
      </c>
      <c r="AO39" s="9">
        <v>127200</v>
      </c>
      <c r="AP39" s="10">
        <f t="shared" si="8"/>
        <v>-1.5698587127158659E-3</v>
      </c>
      <c r="AQ39" s="10">
        <f t="shared" si="9"/>
        <v>-1.5710922320412123E-3</v>
      </c>
      <c r="AU39" s="5">
        <v>31</v>
      </c>
      <c r="AV39" s="7" t="s">
        <v>64</v>
      </c>
      <c r="AW39" s="8">
        <v>40000000</v>
      </c>
      <c r="AX39" s="9">
        <v>2315</v>
      </c>
      <c r="AY39" s="10">
        <f t="shared" si="10"/>
        <v>4.3383947939261702E-3</v>
      </c>
      <c r="AZ39" s="10">
        <f t="shared" si="11"/>
        <v>4.3290110895854786E-3</v>
      </c>
      <c r="BD39" s="5">
        <v>31</v>
      </c>
      <c r="BE39" s="7" t="s">
        <v>64</v>
      </c>
      <c r="BF39" s="8">
        <v>16068000</v>
      </c>
      <c r="BG39" s="9">
        <v>10000</v>
      </c>
      <c r="BH39" s="10">
        <f t="shared" si="12"/>
        <v>-3.9840637450199168E-3</v>
      </c>
      <c r="BI39" s="10">
        <f t="shared" si="13"/>
        <v>-3.9920212695374498E-3</v>
      </c>
    </row>
    <row r="40" spans="2:61" x14ac:dyDescent="0.4">
      <c r="B40" s="5">
        <v>32</v>
      </c>
      <c r="C40" s="7" t="s">
        <v>65</v>
      </c>
      <c r="D40" s="8">
        <v>24054799</v>
      </c>
      <c r="E40" s="9">
        <v>8710</v>
      </c>
      <c r="F40" s="10">
        <f t="shared" si="0"/>
        <v>-1.2471655328798237E-2</v>
      </c>
      <c r="G40" s="10">
        <f t="shared" si="1"/>
        <v>-1.2550079154288558E-2</v>
      </c>
      <c r="K40" s="5">
        <v>32</v>
      </c>
      <c r="L40" s="7" t="s">
        <v>65</v>
      </c>
      <c r="M40" s="8">
        <v>21929315</v>
      </c>
      <c r="N40" s="9">
        <v>11250</v>
      </c>
      <c r="O40" s="10">
        <f t="shared" si="2"/>
        <v>-2.0887728459530019E-2</v>
      </c>
      <c r="P40" s="10">
        <f t="shared" si="3"/>
        <v>-2.1108963210235168E-2</v>
      </c>
      <c r="T40" s="5">
        <v>32</v>
      </c>
      <c r="U40" s="7" t="s">
        <v>65</v>
      </c>
      <c r="V40" s="8">
        <v>26014161</v>
      </c>
      <c r="W40" s="9">
        <v>9020</v>
      </c>
      <c r="X40" s="10">
        <f t="shared" si="4"/>
        <v>-3.3149171270717703E-3</v>
      </c>
      <c r="Y40" s="10">
        <f t="shared" si="5"/>
        <v>-3.3204236373024112E-3</v>
      </c>
      <c r="AC40" s="5">
        <v>32</v>
      </c>
      <c r="AD40" s="7" t="s">
        <v>65</v>
      </c>
      <c r="AE40" s="8">
        <v>34941838</v>
      </c>
      <c r="AF40" s="9">
        <v>22700</v>
      </c>
      <c r="AG40" s="10">
        <f t="shared" si="6"/>
        <v>-3.4042553191489411E-2</v>
      </c>
      <c r="AH40" s="10">
        <f t="shared" si="7"/>
        <v>-3.4635496662756338E-2</v>
      </c>
      <c r="AL40" s="5">
        <v>32</v>
      </c>
      <c r="AM40" s="7" t="s">
        <v>65</v>
      </c>
      <c r="AN40" s="8">
        <v>58492759</v>
      </c>
      <c r="AO40" s="9">
        <v>127400</v>
      </c>
      <c r="AP40" s="10">
        <f t="shared" si="8"/>
        <v>-3.129890453834161E-3</v>
      </c>
      <c r="AQ40" s="10">
        <f t="shared" si="9"/>
        <v>-3.1347988053715033E-3</v>
      </c>
      <c r="AU40" s="5">
        <v>32</v>
      </c>
      <c r="AV40" s="7" t="s">
        <v>65</v>
      </c>
      <c r="AW40" s="8">
        <v>40000000</v>
      </c>
      <c r="AX40" s="9">
        <v>2305</v>
      </c>
      <c r="AY40" s="10">
        <f t="shared" si="10"/>
        <v>-1.0729613733905574E-2</v>
      </c>
      <c r="AZ40" s="10">
        <f t="shared" si="11"/>
        <v>-1.0787591128997352E-2</v>
      </c>
      <c r="BD40" s="5">
        <v>32</v>
      </c>
      <c r="BE40" s="7" t="s">
        <v>65</v>
      </c>
      <c r="BF40" s="8">
        <v>16068000</v>
      </c>
      <c r="BG40" s="9">
        <v>10040</v>
      </c>
      <c r="BH40" s="10">
        <f t="shared" si="12"/>
        <v>-1.953125E-2</v>
      </c>
      <c r="BI40" s="10">
        <f t="shared" si="13"/>
        <v>-1.972450534777859E-2</v>
      </c>
    </row>
    <row r="41" spans="2:61" x14ac:dyDescent="0.4">
      <c r="B41" s="5">
        <v>33</v>
      </c>
      <c r="C41" s="7" t="s">
        <v>66</v>
      </c>
      <c r="D41" s="8">
        <v>24054799</v>
      </c>
      <c r="E41" s="9">
        <v>8820</v>
      </c>
      <c r="F41" s="10">
        <f t="shared" si="0"/>
        <v>0</v>
      </c>
      <c r="G41" s="10">
        <f t="shared" si="1"/>
        <v>0</v>
      </c>
      <c r="K41" s="5">
        <v>33</v>
      </c>
      <c r="L41" s="7" t="s">
        <v>66</v>
      </c>
      <c r="M41" s="8">
        <v>21929315</v>
      </c>
      <c r="N41" s="9">
        <v>11490</v>
      </c>
      <c r="O41" s="10">
        <f t="shared" si="2"/>
        <v>4.3706293706293753E-3</v>
      </c>
      <c r="P41" s="10">
        <f t="shared" si="3"/>
        <v>4.3611059090124778E-3</v>
      </c>
      <c r="T41" s="5">
        <v>33</v>
      </c>
      <c r="U41" s="7" t="s">
        <v>66</v>
      </c>
      <c r="V41" s="8">
        <v>26014161</v>
      </c>
      <c r="W41" s="9">
        <v>9050</v>
      </c>
      <c r="X41" s="10">
        <f t="shared" si="4"/>
        <v>-7.9348931841302095E-2</v>
      </c>
      <c r="Y41" s="10">
        <f t="shared" si="5"/>
        <v>-8.2674176447240386E-2</v>
      </c>
      <c r="AC41" s="5">
        <v>33</v>
      </c>
      <c r="AD41" s="7" t="s">
        <v>66</v>
      </c>
      <c r="AE41" s="8">
        <v>34941838</v>
      </c>
      <c r="AF41" s="9">
        <v>23500</v>
      </c>
      <c r="AG41" s="10">
        <f t="shared" si="6"/>
        <v>2.132196162046851E-3</v>
      </c>
      <c r="AH41" s="10">
        <f t="shared" si="7"/>
        <v>2.129926257824849E-3</v>
      </c>
      <c r="AL41" s="5">
        <v>33</v>
      </c>
      <c r="AM41" s="7" t="s">
        <v>66</v>
      </c>
      <c r="AN41" s="8">
        <v>58492759</v>
      </c>
      <c r="AO41" s="9">
        <v>127800</v>
      </c>
      <c r="AP41" s="10">
        <f t="shared" si="8"/>
        <v>1.1876484560570111E-2</v>
      </c>
      <c r="AQ41" s="10">
        <f t="shared" si="9"/>
        <v>1.1806512586989044E-2</v>
      </c>
      <c r="AU41" s="5">
        <v>33</v>
      </c>
      <c r="AV41" s="7" t="s">
        <v>66</v>
      </c>
      <c r="AW41" s="8">
        <v>40000000</v>
      </c>
      <c r="AX41" s="9">
        <v>2330</v>
      </c>
      <c r="AY41" s="10">
        <f t="shared" si="10"/>
        <v>-1.0615711252653925E-2</v>
      </c>
      <c r="AZ41" s="10">
        <f t="shared" si="11"/>
        <v>-1.0672459890771872E-2</v>
      </c>
      <c r="BD41" s="5">
        <v>33</v>
      </c>
      <c r="BE41" s="7" t="s">
        <v>66</v>
      </c>
      <c r="BF41" s="8">
        <v>16068000</v>
      </c>
      <c r="BG41" s="9">
        <v>10240</v>
      </c>
      <c r="BH41" s="10">
        <f t="shared" si="12"/>
        <v>-1.9157088122605415E-2</v>
      </c>
      <c r="BI41" s="10">
        <f t="shared" si="13"/>
        <v>-1.9342962843130987E-2</v>
      </c>
    </row>
    <row r="42" spans="2:61" x14ac:dyDescent="0.4">
      <c r="B42" s="5">
        <v>34</v>
      </c>
      <c r="C42" s="7" t="s">
        <v>67</v>
      </c>
      <c r="D42" s="8">
        <v>24054799</v>
      </c>
      <c r="E42" s="9">
        <v>8820</v>
      </c>
      <c r="F42" s="10">
        <f t="shared" si="0"/>
        <v>1.8475750577367167E-2</v>
      </c>
      <c r="G42" s="10">
        <f t="shared" si="1"/>
        <v>1.830714744435611E-2</v>
      </c>
      <c r="K42" s="5">
        <v>34</v>
      </c>
      <c r="L42" s="7" t="s">
        <v>67</v>
      </c>
      <c r="M42" s="8">
        <v>21929315</v>
      </c>
      <c r="N42" s="9">
        <v>11440</v>
      </c>
      <c r="O42" s="10">
        <f t="shared" si="2"/>
        <v>1.5084294587400127E-2</v>
      </c>
      <c r="P42" s="10">
        <f t="shared" si="3"/>
        <v>1.4971657899966857E-2</v>
      </c>
      <c r="T42" s="5">
        <v>34</v>
      </c>
      <c r="U42" s="7" t="s">
        <v>67</v>
      </c>
      <c r="V42" s="8">
        <v>26014161</v>
      </c>
      <c r="W42" s="9">
        <v>9830</v>
      </c>
      <c r="X42" s="10">
        <f t="shared" si="4"/>
        <v>4.6858359957401508E-2</v>
      </c>
      <c r="Y42" s="10">
        <f t="shared" si="5"/>
        <v>4.579364093890366E-2</v>
      </c>
      <c r="AC42" s="5">
        <v>34</v>
      </c>
      <c r="AD42" s="7" t="s">
        <v>67</v>
      </c>
      <c r="AE42" s="8">
        <v>34941838</v>
      </c>
      <c r="AF42" s="9">
        <v>23450</v>
      </c>
      <c r="AG42" s="10">
        <f t="shared" si="6"/>
        <v>8.6021505376343566E-3</v>
      </c>
      <c r="AH42" s="10">
        <f t="shared" si="7"/>
        <v>8.5653628589230004E-3</v>
      </c>
      <c r="AL42" s="5">
        <v>34</v>
      </c>
      <c r="AM42" s="7" t="s">
        <v>67</v>
      </c>
      <c r="AN42" s="8">
        <v>58492759</v>
      </c>
      <c r="AO42" s="9">
        <v>126300</v>
      </c>
      <c r="AP42" s="10">
        <f t="shared" si="8"/>
        <v>1.937046004842613E-2</v>
      </c>
      <c r="AQ42" s="10">
        <f t="shared" si="9"/>
        <v>1.9185240721348643E-2</v>
      </c>
      <c r="AU42" s="5">
        <v>34</v>
      </c>
      <c r="AV42" s="7" t="s">
        <v>67</v>
      </c>
      <c r="AW42" s="8">
        <v>40000000</v>
      </c>
      <c r="AX42" s="9">
        <v>2355</v>
      </c>
      <c r="AY42" s="10">
        <f t="shared" si="10"/>
        <v>3.0634573304157531E-2</v>
      </c>
      <c r="AZ42" s="10">
        <f t="shared" si="11"/>
        <v>3.0174703122213032E-2</v>
      </c>
      <c r="BD42" s="5">
        <v>34</v>
      </c>
      <c r="BE42" s="7" t="s">
        <v>67</v>
      </c>
      <c r="BF42" s="8">
        <v>16068000</v>
      </c>
      <c r="BG42" s="9">
        <v>10440</v>
      </c>
      <c r="BH42" s="10">
        <f t="shared" si="12"/>
        <v>9.5877277085332224E-4</v>
      </c>
      <c r="BI42" s="10">
        <f t="shared" si="13"/>
        <v>9.5831344181159721E-4</v>
      </c>
    </row>
    <row r="43" spans="2:61" x14ac:dyDescent="0.4">
      <c r="B43" s="5">
        <v>35</v>
      </c>
      <c r="C43" s="7" t="s">
        <v>68</v>
      </c>
      <c r="D43" s="8">
        <v>24054799</v>
      </c>
      <c r="E43" s="9">
        <v>8660</v>
      </c>
      <c r="F43" s="10">
        <f t="shared" si="0"/>
        <v>-2.0361990950226283E-2</v>
      </c>
      <c r="G43" s="10">
        <f t="shared" si="1"/>
        <v>-2.0572154075208317E-2</v>
      </c>
      <c r="K43" s="5">
        <v>35</v>
      </c>
      <c r="L43" s="7" t="s">
        <v>68</v>
      </c>
      <c r="M43" s="8">
        <v>21929315</v>
      </c>
      <c r="N43" s="9">
        <v>11270</v>
      </c>
      <c r="O43" s="10">
        <f t="shared" si="2"/>
        <v>8.0500894454382799E-3</v>
      </c>
      <c r="P43" s="10">
        <f t="shared" si="3"/>
        <v>8.0178603247318299E-3</v>
      </c>
      <c r="T43" s="5">
        <v>35</v>
      </c>
      <c r="U43" s="7" t="s">
        <v>68</v>
      </c>
      <c r="V43" s="8">
        <v>26014161</v>
      </c>
      <c r="W43" s="9">
        <v>9390</v>
      </c>
      <c r="X43" s="10">
        <f t="shared" si="4"/>
        <v>-4.0858018386108252E-2</v>
      </c>
      <c r="Y43" s="10">
        <f t="shared" si="5"/>
        <v>-4.1716163322247451E-2</v>
      </c>
      <c r="AC43" s="5">
        <v>35</v>
      </c>
      <c r="AD43" s="7" t="s">
        <v>68</v>
      </c>
      <c r="AE43" s="8">
        <v>34941838</v>
      </c>
      <c r="AF43" s="9">
        <v>23250</v>
      </c>
      <c r="AG43" s="10">
        <f t="shared" si="6"/>
        <v>-2.515723270440251E-2</v>
      </c>
      <c r="AH43" s="10">
        <f t="shared" si="7"/>
        <v>-2.5479085300984899E-2</v>
      </c>
      <c r="AL43" s="5">
        <v>35</v>
      </c>
      <c r="AM43" s="7" t="s">
        <v>68</v>
      </c>
      <c r="AN43" s="8">
        <v>58492759</v>
      </c>
      <c r="AO43" s="9">
        <v>123900</v>
      </c>
      <c r="AP43" s="10">
        <f t="shared" si="8"/>
        <v>-1.7446471054718526E-2</v>
      </c>
      <c r="AQ43" s="10">
        <f t="shared" si="9"/>
        <v>-1.7600454335777161E-2</v>
      </c>
      <c r="AU43" s="5">
        <v>35</v>
      </c>
      <c r="AV43" s="7" t="s">
        <v>68</v>
      </c>
      <c r="AW43" s="8">
        <v>40000000</v>
      </c>
      <c r="AX43" s="9">
        <v>2285</v>
      </c>
      <c r="AY43" s="10">
        <f t="shared" si="10"/>
        <v>-1.5086206896551713E-2</v>
      </c>
      <c r="AZ43" s="10">
        <f t="shared" si="11"/>
        <v>-1.5201161332050553E-2</v>
      </c>
      <c r="BD43" s="5">
        <v>35</v>
      </c>
      <c r="BE43" s="7" t="s">
        <v>68</v>
      </c>
      <c r="BF43" s="8">
        <v>16068000</v>
      </c>
      <c r="BG43" s="9">
        <v>10430</v>
      </c>
      <c r="BH43" s="10">
        <f t="shared" si="12"/>
        <v>2.8846153846153744E-3</v>
      </c>
      <c r="BI43" s="10">
        <f t="shared" si="13"/>
        <v>2.8804628653540877E-3</v>
      </c>
    </row>
    <row r="44" spans="2:61" x14ac:dyDescent="0.4">
      <c r="B44" s="5">
        <v>36</v>
      </c>
      <c r="C44" s="7" t="s">
        <v>69</v>
      </c>
      <c r="D44" s="8">
        <v>24054799</v>
      </c>
      <c r="E44" s="9">
        <v>8840</v>
      </c>
      <c r="F44" s="10">
        <f t="shared" si="0"/>
        <v>1.3761467889908285E-2</v>
      </c>
      <c r="G44" s="10">
        <f t="shared" si="1"/>
        <v>1.3667638728663835E-2</v>
      </c>
      <c r="K44" s="5">
        <v>36</v>
      </c>
      <c r="L44" s="7" t="s">
        <v>69</v>
      </c>
      <c r="M44" s="8">
        <v>21929315</v>
      </c>
      <c r="N44" s="9">
        <v>11180</v>
      </c>
      <c r="O44" s="10">
        <f t="shared" si="2"/>
        <v>1.26811594202898E-2</v>
      </c>
      <c r="P44" s="10">
        <f t="shared" si="3"/>
        <v>1.2601426878003795E-2</v>
      </c>
      <c r="T44" s="5">
        <v>36</v>
      </c>
      <c r="U44" s="7" t="s">
        <v>69</v>
      </c>
      <c r="V44" s="8">
        <v>26014161</v>
      </c>
      <c r="W44" s="9">
        <v>9790</v>
      </c>
      <c r="X44" s="10">
        <f t="shared" si="4"/>
        <v>3.0737704918033515E-3</v>
      </c>
      <c r="Y44" s="10">
        <f t="shared" si="5"/>
        <v>3.0690561174179687E-3</v>
      </c>
      <c r="AC44" s="5">
        <v>36</v>
      </c>
      <c r="AD44" s="7" t="s">
        <v>69</v>
      </c>
      <c r="AE44" s="8">
        <v>34941838</v>
      </c>
      <c r="AF44" s="9">
        <v>23850</v>
      </c>
      <c r="AG44" s="10">
        <f t="shared" si="6"/>
        <v>2.1413276231263323E-2</v>
      </c>
      <c r="AH44" s="10">
        <f t="shared" si="7"/>
        <v>2.1187233219443845E-2</v>
      </c>
      <c r="AL44" s="5">
        <v>36</v>
      </c>
      <c r="AM44" s="7" t="s">
        <v>69</v>
      </c>
      <c r="AN44" s="8">
        <v>58492759</v>
      </c>
      <c r="AO44" s="9">
        <v>126100</v>
      </c>
      <c r="AP44" s="10">
        <f t="shared" si="8"/>
        <v>-3.1620553359683612E-3</v>
      </c>
      <c r="AQ44" s="10">
        <f t="shared" si="9"/>
        <v>-3.1670651967010328E-3</v>
      </c>
      <c r="AU44" s="5">
        <v>36</v>
      </c>
      <c r="AV44" s="7" t="s">
        <v>69</v>
      </c>
      <c r="AW44" s="8">
        <v>40000000</v>
      </c>
      <c r="AX44" s="9">
        <v>2320</v>
      </c>
      <c r="AY44" s="10">
        <f t="shared" si="10"/>
        <v>1.978021978021971E-2</v>
      </c>
      <c r="AZ44" s="10">
        <f t="shared" si="11"/>
        <v>1.9587133275304779E-2</v>
      </c>
      <c r="BD44" s="5">
        <v>36</v>
      </c>
      <c r="BE44" s="7" t="s">
        <v>69</v>
      </c>
      <c r="BF44" s="8">
        <v>16068000</v>
      </c>
      <c r="BG44" s="9">
        <v>10400</v>
      </c>
      <c r="BH44" s="10">
        <f t="shared" si="12"/>
        <v>2.3622047244094446E-2</v>
      </c>
      <c r="BI44" s="10">
        <f t="shared" si="13"/>
        <v>2.3347363996991107E-2</v>
      </c>
    </row>
    <row r="45" spans="2:61" x14ac:dyDescent="0.4">
      <c r="B45" s="5">
        <v>37</v>
      </c>
      <c r="C45" s="7" t="s">
        <v>70</v>
      </c>
      <c r="D45" s="8">
        <v>24054799</v>
      </c>
      <c r="E45" s="9">
        <v>8720</v>
      </c>
      <c r="F45" s="10">
        <f t="shared" si="0"/>
        <v>9.2592592592593004E-3</v>
      </c>
      <c r="G45" s="10">
        <f t="shared" si="1"/>
        <v>9.2166551049240476E-3</v>
      </c>
      <c r="K45" s="5">
        <v>37</v>
      </c>
      <c r="L45" s="7" t="s">
        <v>70</v>
      </c>
      <c r="M45" s="8">
        <v>21929315</v>
      </c>
      <c r="N45" s="9">
        <v>11040</v>
      </c>
      <c r="O45" s="10">
        <f t="shared" si="2"/>
        <v>-4.5085662759242195E-3</v>
      </c>
      <c r="P45" s="10">
        <f t="shared" si="3"/>
        <v>-4.5187605133263781E-3</v>
      </c>
      <c r="T45" s="5">
        <v>37</v>
      </c>
      <c r="U45" s="7" t="s">
        <v>70</v>
      </c>
      <c r="V45" s="8">
        <v>26014161</v>
      </c>
      <c r="W45" s="9">
        <v>9760</v>
      </c>
      <c r="X45" s="10">
        <f t="shared" si="4"/>
        <v>3.940362087326954E-2</v>
      </c>
      <c r="Y45" s="10">
        <f t="shared" si="5"/>
        <v>3.8647107204829681E-2</v>
      </c>
      <c r="AC45" s="5">
        <v>37</v>
      </c>
      <c r="AD45" s="7" t="s">
        <v>70</v>
      </c>
      <c r="AE45" s="8">
        <v>34941838</v>
      </c>
      <c r="AF45" s="9">
        <v>23350</v>
      </c>
      <c r="AG45" s="10">
        <f t="shared" si="6"/>
        <v>-8.4925690021231404E-3</v>
      </c>
      <c r="AH45" s="10">
        <f t="shared" si="7"/>
        <v>-8.5288363475204357E-3</v>
      </c>
      <c r="AL45" s="5">
        <v>37</v>
      </c>
      <c r="AM45" s="7" t="s">
        <v>70</v>
      </c>
      <c r="AN45" s="8">
        <v>58492759</v>
      </c>
      <c r="AO45" s="9">
        <v>126500</v>
      </c>
      <c r="AP45" s="10">
        <f t="shared" si="8"/>
        <v>6.6610455311973071E-2</v>
      </c>
      <c r="AQ45" s="10">
        <f t="shared" si="9"/>
        <v>6.4485821603949903E-2</v>
      </c>
      <c r="AU45" s="5">
        <v>37</v>
      </c>
      <c r="AV45" s="7" t="s">
        <v>70</v>
      </c>
      <c r="AW45" s="8">
        <v>40000000</v>
      </c>
      <c r="AX45" s="9">
        <v>2275</v>
      </c>
      <c r="AY45" s="10">
        <f t="shared" si="10"/>
        <v>-1.0869565217391353E-2</v>
      </c>
      <c r="AZ45" s="10">
        <f t="shared" si="11"/>
        <v>-1.0929070532190317E-2</v>
      </c>
      <c r="BD45" s="5">
        <v>37</v>
      </c>
      <c r="BE45" s="7" t="s">
        <v>70</v>
      </c>
      <c r="BF45" s="8">
        <v>16068000</v>
      </c>
      <c r="BG45" s="9">
        <v>10160</v>
      </c>
      <c r="BH45" s="10">
        <f t="shared" si="12"/>
        <v>1.0945273631840724E-2</v>
      </c>
      <c r="BI45" s="10">
        <f t="shared" si="13"/>
        <v>1.0885807645251004E-2</v>
      </c>
    </row>
    <row r="46" spans="2:61" x14ac:dyDescent="0.4">
      <c r="B46" s="5">
        <v>38</v>
      </c>
      <c r="C46" s="7" t="s">
        <v>71</v>
      </c>
      <c r="D46" s="8">
        <v>24054799</v>
      </c>
      <c r="E46" s="9">
        <v>8640</v>
      </c>
      <c r="F46" s="10">
        <f t="shared" si="0"/>
        <v>-1.7064846416382284E-2</v>
      </c>
      <c r="G46" s="10">
        <f t="shared" si="1"/>
        <v>-1.7212128881121409E-2</v>
      </c>
      <c r="K46" s="5">
        <v>38</v>
      </c>
      <c r="L46" s="7" t="s">
        <v>71</v>
      </c>
      <c r="M46" s="8">
        <v>21929315</v>
      </c>
      <c r="N46" s="9">
        <v>11090</v>
      </c>
      <c r="O46" s="10">
        <f t="shared" si="2"/>
        <v>-4.4883303411130671E-3</v>
      </c>
      <c r="P46" s="10">
        <f t="shared" si="3"/>
        <v>-4.4984331368622572E-3</v>
      </c>
      <c r="T46" s="5">
        <v>38</v>
      </c>
      <c r="U46" s="7" t="s">
        <v>71</v>
      </c>
      <c r="V46" s="8">
        <v>26014161</v>
      </c>
      <c r="W46" s="9">
        <v>9390</v>
      </c>
      <c r="X46" s="10">
        <f t="shared" si="4"/>
        <v>-4.7667342799188606E-2</v>
      </c>
      <c r="Y46" s="10">
        <f t="shared" si="5"/>
        <v>-4.8840875394372471E-2</v>
      </c>
      <c r="AC46" s="5">
        <v>38</v>
      </c>
      <c r="AD46" s="7" t="s">
        <v>71</v>
      </c>
      <c r="AE46" s="8">
        <v>34941838</v>
      </c>
      <c r="AF46" s="9">
        <v>23550</v>
      </c>
      <c r="AG46" s="10">
        <f t="shared" si="6"/>
        <v>-3.8775510204081653E-2</v>
      </c>
      <c r="AH46" s="10">
        <f t="shared" si="7"/>
        <v>-3.9547297088254565E-2</v>
      </c>
      <c r="AL46" s="5">
        <v>38</v>
      </c>
      <c r="AM46" s="7" t="s">
        <v>71</v>
      </c>
      <c r="AN46" s="8">
        <v>58492759</v>
      </c>
      <c r="AO46" s="9">
        <v>118600</v>
      </c>
      <c r="AP46" s="10">
        <f t="shared" si="8"/>
        <v>-1.248959200666111E-2</v>
      </c>
      <c r="AQ46" s="10">
        <f t="shared" si="9"/>
        <v>-1.2568242522312773E-2</v>
      </c>
      <c r="AU46" s="5">
        <v>38</v>
      </c>
      <c r="AV46" s="7" t="s">
        <v>71</v>
      </c>
      <c r="AW46" s="8">
        <v>40000000</v>
      </c>
      <c r="AX46" s="9">
        <v>2300</v>
      </c>
      <c r="AY46" s="10">
        <f t="shared" si="10"/>
        <v>-6.4794816414687206E-3</v>
      </c>
      <c r="AZ46" s="10">
        <f t="shared" si="11"/>
        <v>-6.500564603093428E-3</v>
      </c>
      <c r="BD46" s="5">
        <v>38</v>
      </c>
      <c r="BE46" s="7" t="s">
        <v>71</v>
      </c>
      <c r="BF46" s="8">
        <v>16068000</v>
      </c>
      <c r="BG46" s="9">
        <v>10050</v>
      </c>
      <c r="BH46" s="10">
        <f t="shared" si="12"/>
        <v>-2.7105517909002952E-2</v>
      </c>
      <c r="BI46" s="10">
        <f t="shared" si="13"/>
        <v>-2.7479648626462471E-2</v>
      </c>
    </row>
    <row r="47" spans="2:61" x14ac:dyDescent="0.4">
      <c r="B47" s="5">
        <v>39</v>
      </c>
      <c r="C47" s="7" t="s">
        <v>72</v>
      </c>
      <c r="D47" s="8">
        <v>24054799</v>
      </c>
      <c r="E47" s="9">
        <v>8790</v>
      </c>
      <c r="F47" s="10">
        <f t="shared" si="0"/>
        <v>-3.4065934065934056E-2</v>
      </c>
      <c r="G47" s="10">
        <f t="shared" si="1"/>
        <v>-3.4659701825718717E-2</v>
      </c>
      <c r="K47" s="5">
        <v>39</v>
      </c>
      <c r="L47" s="7" t="s">
        <v>72</v>
      </c>
      <c r="M47" s="8">
        <v>21929315</v>
      </c>
      <c r="N47" s="9">
        <v>11140</v>
      </c>
      <c r="O47" s="10">
        <f t="shared" si="2"/>
        <v>-2.6857654431512445E-3</v>
      </c>
      <c r="P47" s="10">
        <f t="shared" si="3"/>
        <v>-2.6893785819713236E-3</v>
      </c>
      <c r="T47" s="5">
        <v>39</v>
      </c>
      <c r="U47" s="7" t="s">
        <v>72</v>
      </c>
      <c r="V47" s="8">
        <v>26014161</v>
      </c>
      <c r="W47" s="9">
        <v>9860</v>
      </c>
      <c r="X47" s="10">
        <f t="shared" si="4"/>
        <v>-1.4985014985015033E-2</v>
      </c>
      <c r="Y47" s="10">
        <f t="shared" si="5"/>
        <v>-1.5098424712585217E-2</v>
      </c>
      <c r="AC47" s="5">
        <v>39</v>
      </c>
      <c r="AD47" s="7" t="s">
        <v>72</v>
      </c>
      <c r="AE47" s="8">
        <v>34941838</v>
      </c>
      <c r="AF47" s="9">
        <v>24500</v>
      </c>
      <c r="AG47" s="10">
        <f t="shared" si="6"/>
        <v>-3.1620553359683834E-2</v>
      </c>
      <c r="AH47" s="10">
        <f t="shared" si="7"/>
        <v>-3.2131278182793294E-2</v>
      </c>
      <c r="AL47" s="5">
        <v>39</v>
      </c>
      <c r="AM47" s="7" t="s">
        <v>72</v>
      </c>
      <c r="AN47" s="8">
        <v>58492759</v>
      </c>
      <c r="AO47" s="9">
        <v>120100</v>
      </c>
      <c r="AP47" s="10">
        <f t="shared" si="8"/>
        <v>-4.1459369817579139E-3</v>
      </c>
      <c r="AQ47" s="10">
        <f t="shared" si="9"/>
        <v>-4.154555207147248E-3</v>
      </c>
      <c r="AU47" s="5">
        <v>39</v>
      </c>
      <c r="AV47" s="7" t="s">
        <v>72</v>
      </c>
      <c r="AW47" s="8">
        <v>40000000</v>
      </c>
      <c r="AX47" s="9">
        <v>2315</v>
      </c>
      <c r="AY47" s="10">
        <f t="shared" si="10"/>
        <v>-2.320675105485237E-2</v>
      </c>
      <c r="AZ47" s="10">
        <f t="shared" si="11"/>
        <v>-2.3480267608842472E-2</v>
      </c>
      <c r="BD47" s="5">
        <v>39</v>
      </c>
      <c r="BE47" s="7" t="s">
        <v>72</v>
      </c>
      <c r="BF47" s="8">
        <v>16068000</v>
      </c>
      <c r="BG47" s="9">
        <v>10330</v>
      </c>
      <c r="BH47" s="10">
        <f t="shared" si="12"/>
        <v>-5.0551470588235281E-2</v>
      </c>
      <c r="BI47" s="10">
        <f t="shared" si="13"/>
        <v>-5.1873958296249377E-2</v>
      </c>
    </row>
    <row r="48" spans="2:61" x14ac:dyDescent="0.4">
      <c r="B48" s="5">
        <v>40</v>
      </c>
      <c r="C48" s="7" t="s">
        <v>73</v>
      </c>
      <c r="D48" s="8">
        <v>24054799</v>
      </c>
      <c r="E48" s="9">
        <v>9100</v>
      </c>
      <c r="F48" s="10">
        <f t="shared" si="0"/>
        <v>-3.6016949152542388E-2</v>
      </c>
      <c r="G48" s="10">
        <f t="shared" si="1"/>
        <v>-3.6681566634604978E-2</v>
      </c>
      <c r="K48" s="5">
        <v>40</v>
      </c>
      <c r="L48" s="7" t="s">
        <v>73</v>
      </c>
      <c r="M48" s="8">
        <v>21929315</v>
      </c>
      <c r="N48" s="9">
        <v>11170</v>
      </c>
      <c r="O48" s="10">
        <f t="shared" si="2"/>
        <v>-2.7850304612706656E-2</v>
      </c>
      <c r="P48" s="10">
        <f t="shared" si="3"/>
        <v>-2.8245478779554925E-2</v>
      </c>
      <c r="T48" s="5">
        <v>40</v>
      </c>
      <c r="U48" s="7" t="s">
        <v>73</v>
      </c>
      <c r="V48" s="8">
        <v>26014161</v>
      </c>
      <c r="W48" s="9">
        <v>10010</v>
      </c>
      <c r="X48" s="10">
        <f t="shared" si="4"/>
        <v>1.1111111111111072E-2</v>
      </c>
      <c r="Y48" s="10">
        <f t="shared" si="5"/>
        <v>1.1049836186584935E-2</v>
      </c>
      <c r="AC48" s="5">
        <v>40</v>
      </c>
      <c r="AD48" s="7" t="s">
        <v>73</v>
      </c>
      <c r="AE48" s="8">
        <v>34941838</v>
      </c>
      <c r="AF48" s="9">
        <v>25300</v>
      </c>
      <c r="AG48" s="10">
        <f t="shared" si="6"/>
        <v>-1.3645224171540016E-2</v>
      </c>
      <c r="AH48" s="10">
        <f t="shared" si="7"/>
        <v>-1.3739175883304046E-2</v>
      </c>
      <c r="AL48" s="5">
        <v>40</v>
      </c>
      <c r="AM48" s="7" t="s">
        <v>73</v>
      </c>
      <c r="AN48" s="8">
        <v>58492759</v>
      </c>
      <c r="AO48" s="9">
        <v>120600</v>
      </c>
      <c r="AP48" s="10">
        <f t="shared" si="8"/>
        <v>3.3277870216306127E-3</v>
      </c>
      <c r="AQ48" s="10">
        <f t="shared" si="9"/>
        <v>3.3222621919778601E-3</v>
      </c>
      <c r="AU48" s="5">
        <v>40</v>
      </c>
      <c r="AV48" s="7" t="s">
        <v>73</v>
      </c>
      <c r="AW48" s="8">
        <v>40000000</v>
      </c>
      <c r="AX48" s="9">
        <v>2370</v>
      </c>
      <c r="AY48" s="10">
        <f t="shared" si="10"/>
        <v>-2.4691358024691357E-2</v>
      </c>
      <c r="AZ48" s="10">
        <f t="shared" si="11"/>
        <v>-2.500130220541727E-2</v>
      </c>
      <c r="BD48" s="5">
        <v>40</v>
      </c>
      <c r="BE48" s="7" t="s">
        <v>73</v>
      </c>
      <c r="BF48" s="8">
        <v>16068000</v>
      </c>
      <c r="BG48" s="9">
        <v>10880</v>
      </c>
      <c r="BH48" s="10">
        <f t="shared" si="12"/>
        <v>-3.3747779751332141E-2</v>
      </c>
      <c r="BI48" s="10">
        <f t="shared" si="13"/>
        <v>-3.4330381283747748E-2</v>
      </c>
    </row>
    <row r="49" spans="2:61" x14ac:dyDescent="0.4">
      <c r="B49" s="5">
        <v>41</v>
      </c>
      <c r="C49" s="7" t="s">
        <v>74</v>
      </c>
      <c r="D49" s="8">
        <v>24054799</v>
      </c>
      <c r="E49" s="9">
        <v>9440</v>
      </c>
      <c r="F49" s="10">
        <f t="shared" si="0"/>
        <v>-1.3584117032392928E-2</v>
      </c>
      <c r="G49" s="10">
        <f t="shared" si="1"/>
        <v>-1.3677225307453609E-2</v>
      </c>
      <c r="K49" s="5">
        <v>41</v>
      </c>
      <c r="L49" s="7" t="s">
        <v>74</v>
      </c>
      <c r="M49" s="8">
        <v>21929315</v>
      </c>
      <c r="N49" s="9">
        <v>11490</v>
      </c>
      <c r="O49" s="10">
        <f t="shared" si="2"/>
        <v>-2.6271186440677941E-2</v>
      </c>
      <c r="P49" s="10">
        <f t="shared" si="3"/>
        <v>-2.6622439610954736E-2</v>
      </c>
      <c r="T49" s="5">
        <v>41</v>
      </c>
      <c r="U49" s="7" t="s">
        <v>74</v>
      </c>
      <c r="V49" s="8">
        <v>26014161</v>
      </c>
      <c r="W49" s="9">
        <v>9900</v>
      </c>
      <c r="X49" s="10">
        <f t="shared" si="4"/>
        <v>1.6427104722792629E-2</v>
      </c>
      <c r="Y49" s="10">
        <f t="shared" si="5"/>
        <v>1.6293639486100533E-2</v>
      </c>
      <c r="AC49" s="5">
        <v>41</v>
      </c>
      <c r="AD49" s="7" t="s">
        <v>74</v>
      </c>
      <c r="AE49" s="8">
        <v>34941838</v>
      </c>
      <c r="AF49" s="9">
        <v>25650</v>
      </c>
      <c r="AG49" s="10">
        <f t="shared" si="6"/>
        <v>2.6000000000000023E-2</v>
      </c>
      <c r="AH49" s="10">
        <f t="shared" si="7"/>
        <v>2.5667746748577813E-2</v>
      </c>
      <c r="AL49" s="5">
        <v>41</v>
      </c>
      <c r="AM49" s="7" t="s">
        <v>74</v>
      </c>
      <c r="AN49" s="8">
        <v>58492759</v>
      </c>
      <c r="AO49" s="9">
        <v>120200</v>
      </c>
      <c r="AP49" s="10">
        <f t="shared" si="8"/>
        <v>-5.789909015715522E-3</v>
      </c>
      <c r="AQ49" s="10">
        <f t="shared" si="9"/>
        <v>-5.8067355196398393E-3</v>
      </c>
      <c r="AU49" s="5">
        <v>41</v>
      </c>
      <c r="AV49" s="7" t="s">
        <v>74</v>
      </c>
      <c r="AW49" s="8">
        <v>40000000</v>
      </c>
      <c r="AX49" s="9">
        <v>2430</v>
      </c>
      <c r="AY49" s="10">
        <f t="shared" si="10"/>
        <v>-6.3583815028901758E-2</v>
      </c>
      <c r="AZ49" s="10">
        <f t="shared" si="11"/>
        <v>-6.5695259265394892E-2</v>
      </c>
      <c r="BD49" s="5">
        <v>41</v>
      </c>
      <c r="BE49" s="7" t="s">
        <v>74</v>
      </c>
      <c r="BF49" s="8">
        <v>16068000</v>
      </c>
      <c r="BG49" s="9">
        <v>11260</v>
      </c>
      <c r="BH49" s="10">
        <f t="shared" si="12"/>
        <v>-7.7805077805077838E-2</v>
      </c>
      <c r="BI49" s="10">
        <f t="shared" si="13"/>
        <v>-8.0998665411069024E-2</v>
      </c>
    </row>
    <row r="50" spans="2:61" x14ac:dyDescent="0.4">
      <c r="B50" s="5">
        <v>42</v>
      </c>
      <c r="C50" s="7" t="s">
        <v>75</v>
      </c>
      <c r="D50" s="8">
        <v>24054799</v>
      </c>
      <c r="E50" s="9">
        <v>9570</v>
      </c>
      <c r="F50" s="10">
        <f t="shared" si="0"/>
        <v>-4.6812749003984022E-2</v>
      </c>
      <c r="G50" s="10">
        <f t="shared" si="1"/>
        <v>-4.7943908798720201E-2</v>
      </c>
      <c r="K50" s="5">
        <v>42</v>
      </c>
      <c r="L50" s="7" t="s">
        <v>75</v>
      </c>
      <c r="M50" s="8">
        <v>21929315</v>
      </c>
      <c r="N50" s="9">
        <v>11800</v>
      </c>
      <c r="O50" s="10">
        <f t="shared" si="2"/>
        <v>-3.4369885433715219E-2</v>
      </c>
      <c r="P50" s="10">
        <f t="shared" si="3"/>
        <v>-3.4974422271830188E-2</v>
      </c>
      <c r="T50" s="5">
        <v>42</v>
      </c>
      <c r="U50" s="7" t="s">
        <v>75</v>
      </c>
      <c r="V50" s="8">
        <v>26014161</v>
      </c>
      <c r="W50" s="9">
        <v>9740</v>
      </c>
      <c r="X50" s="10">
        <f t="shared" si="4"/>
        <v>-2.1105527638190957E-2</v>
      </c>
      <c r="Y50" s="10">
        <f t="shared" si="5"/>
        <v>-2.1331433516057673E-2</v>
      </c>
      <c r="AC50" s="5">
        <v>42</v>
      </c>
      <c r="AD50" s="7" t="s">
        <v>75</v>
      </c>
      <c r="AE50" s="8">
        <v>34941838</v>
      </c>
      <c r="AF50" s="9">
        <v>25000</v>
      </c>
      <c r="AG50" s="10">
        <f t="shared" si="6"/>
        <v>-1.7681728880157177E-2</v>
      </c>
      <c r="AH50" s="10">
        <f t="shared" si="7"/>
        <v>-1.7839918128331005E-2</v>
      </c>
      <c r="AL50" s="5">
        <v>42</v>
      </c>
      <c r="AM50" s="7" t="s">
        <v>75</v>
      </c>
      <c r="AN50" s="8">
        <v>58492759</v>
      </c>
      <c r="AO50" s="9">
        <v>120900</v>
      </c>
      <c r="AP50" s="10">
        <f t="shared" si="8"/>
        <v>-6.5735414954807281E-3</v>
      </c>
      <c r="AQ50" s="10">
        <f t="shared" si="9"/>
        <v>-6.5952423727345371E-3</v>
      </c>
      <c r="AU50" s="5">
        <v>42</v>
      </c>
      <c r="AV50" s="7" t="s">
        <v>75</v>
      </c>
      <c r="AW50" s="8">
        <v>40000000</v>
      </c>
      <c r="AX50" s="9">
        <v>2595</v>
      </c>
      <c r="AY50" s="10">
        <f t="shared" si="10"/>
        <v>-7.3214285714285676E-2</v>
      </c>
      <c r="AZ50" s="10">
        <f t="shared" si="11"/>
        <v>-7.6032900563306235E-2</v>
      </c>
      <c r="BD50" s="5">
        <v>42</v>
      </c>
      <c r="BE50" s="7" t="s">
        <v>75</v>
      </c>
      <c r="BF50" s="8">
        <v>16068000</v>
      </c>
      <c r="BG50" s="9">
        <v>12210</v>
      </c>
      <c r="BH50" s="10">
        <f t="shared" si="12"/>
        <v>-4.2352941176470593E-2</v>
      </c>
      <c r="BI50" s="10">
        <f t="shared" si="13"/>
        <v>-4.3275983481821843E-2</v>
      </c>
    </row>
    <row r="51" spans="2:61" x14ac:dyDescent="0.4">
      <c r="B51" s="5">
        <v>43</v>
      </c>
      <c r="C51" s="7" t="s">
        <v>76</v>
      </c>
      <c r="D51" s="8">
        <v>24054799</v>
      </c>
      <c r="E51" s="9">
        <v>10040</v>
      </c>
      <c r="F51" s="10">
        <f t="shared" si="0"/>
        <v>7.0362473347548082E-2</v>
      </c>
      <c r="G51" s="10">
        <f t="shared" si="1"/>
        <v>6.7997351245449936E-2</v>
      </c>
      <c r="K51" s="5">
        <v>43</v>
      </c>
      <c r="L51" s="7" t="s">
        <v>76</v>
      </c>
      <c r="M51" s="8">
        <v>21929315</v>
      </c>
      <c r="N51" s="9">
        <v>12220</v>
      </c>
      <c r="O51" s="10">
        <f t="shared" si="2"/>
        <v>3.2967032967033072E-2</v>
      </c>
      <c r="P51" s="10">
        <f t="shared" si="3"/>
        <v>3.2435275753153955E-2</v>
      </c>
      <c r="T51" s="5">
        <v>43</v>
      </c>
      <c r="U51" s="7" t="s">
        <v>76</v>
      </c>
      <c r="V51" s="8">
        <v>26014161</v>
      </c>
      <c r="W51" s="9">
        <v>9950</v>
      </c>
      <c r="X51" s="10">
        <f t="shared" si="4"/>
        <v>1.8423746161719601E-2</v>
      </c>
      <c r="Y51" s="10">
        <f t="shared" si="5"/>
        <v>1.8256085115810079E-2</v>
      </c>
      <c r="AC51" s="5">
        <v>43</v>
      </c>
      <c r="AD51" s="7" t="s">
        <v>76</v>
      </c>
      <c r="AE51" s="8">
        <v>34941838</v>
      </c>
      <c r="AF51" s="9">
        <v>25450</v>
      </c>
      <c r="AG51" s="10">
        <f t="shared" si="6"/>
        <v>1.5968063872255467E-2</v>
      </c>
      <c r="AH51" s="10">
        <f t="shared" si="7"/>
        <v>1.5841915465657923E-2</v>
      </c>
      <c r="AL51" s="5">
        <v>43</v>
      </c>
      <c r="AM51" s="7" t="s">
        <v>76</v>
      </c>
      <c r="AN51" s="8">
        <v>58492759</v>
      </c>
      <c r="AO51" s="9">
        <v>121700</v>
      </c>
      <c r="AP51" s="10">
        <f t="shared" si="8"/>
        <v>9.9585062240663547E-3</v>
      </c>
      <c r="AQ51" s="10">
        <f t="shared" si="9"/>
        <v>9.9092470627717682E-3</v>
      </c>
      <c r="AU51" s="5">
        <v>43</v>
      </c>
      <c r="AV51" s="7" t="s">
        <v>76</v>
      </c>
      <c r="AW51" s="8">
        <v>40000000</v>
      </c>
      <c r="AX51" s="9">
        <v>2800</v>
      </c>
      <c r="AY51" s="10">
        <f t="shared" si="10"/>
        <v>0.12224448897795592</v>
      </c>
      <c r="AZ51" s="10">
        <f t="shared" si="11"/>
        <v>0.11533068797767626</v>
      </c>
      <c r="BD51" s="5">
        <v>43</v>
      </c>
      <c r="BE51" s="7" t="s">
        <v>76</v>
      </c>
      <c r="BF51" s="8">
        <v>16068000</v>
      </c>
      <c r="BG51" s="9">
        <v>12750</v>
      </c>
      <c r="BH51" s="10">
        <f t="shared" si="12"/>
        <v>0.2475538160469668</v>
      </c>
      <c r="BI51" s="10">
        <f t="shared" si="13"/>
        <v>0.22118468682887682</v>
      </c>
    </row>
    <row r="52" spans="2:61" x14ac:dyDescent="0.4">
      <c r="B52" s="5">
        <v>44</v>
      </c>
      <c r="C52" s="7" t="s">
        <v>77</v>
      </c>
      <c r="D52" s="8">
        <v>24054799</v>
      </c>
      <c r="E52" s="9">
        <v>9380</v>
      </c>
      <c r="F52" s="10">
        <f t="shared" si="0"/>
        <v>-1.1591148577449917E-2</v>
      </c>
      <c r="G52" s="10">
        <f t="shared" si="1"/>
        <v>-1.1658849603703159E-2</v>
      </c>
      <c r="K52" s="5">
        <v>44</v>
      </c>
      <c r="L52" s="7" t="s">
        <v>77</v>
      </c>
      <c r="M52" s="8">
        <v>21929315</v>
      </c>
      <c r="N52" s="9">
        <v>11830</v>
      </c>
      <c r="O52" s="10">
        <f t="shared" si="2"/>
        <v>-1.8257261410788428E-2</v>
      </c>
      <c r="P52" s="10">
        <f t="shared" si="3"/>
        <v>-1.8425981946368641E-2</v>
      </c>
      <c r="T52" s="5">
        <v>44</v>
      </c>
      <c r="U52" s="7" t="s">
        <v>77</v>
      </c>
      <c r="V52" s="8">
        <v>26014161</v>
      </c>
      <c r="W52" s="9">
        <v>9770</v>
      </c>
      <c r="X52" s="10">
        <f t="shared" si="4"/>
        <v>-1.7102615694164935E-2</v>
      </c>
      <c r="Y52" s="10">
        <f t="shared" si="5"/>
        <v>-1.7250554613791241E-2</v>
      </c>
      <c r="AC52" s="5">
        <v>44</v>
      </c>
      <c r="AD52" s="7" t="s">
        <v>77</v>
      </c>
      <c r="AE52" s="8">
        <v>34941838</v>
      </c>
      <c r="AF52" s="9">
        <v>25050</v>
      </c>
      <c r="AG52" s="10">
        <f t="shared" si="6"/>
        <v>-3.0947775628626717E-2</v>
      </c>
      <c r="AH52" s="10">
        <f t="shared" si="7"/>
        <v>-3.1436773423564358E-2</v>
      </c>
      <c r="AL52" s="5">
        <v>44</v>
      </c>
      <c r="AM52" s="7" t="s">
        <v>77</v>
      </c>
      <c r="AN52" s="8">
        <v>58492759</v>
      </c>
      <c r="AO52" s="9">
        <v>120500</v>
      </c>
      <c r="AP52" s="10">
        <f t="shared" si="8"/>
        <v>-2.5869037995149502E-2</v>
      </c>
      <c r="AQ52" s="10">
        <f t="shared" si="9"/>
        <v>-2.6209526467732475E-2</v>
      </c>
      <c r="AU52" s="5">
        <v>44</v>
      </c>
      <c r="AV52" s="7" t="s">
        <v>77</v>
      </c>
      <c r="AW52" s="8">
        <v>40000000</v>
      </c>
      <c r="AX52" s="9">
        <v>2495</v>
      </c>
      <c r="AY52" s="10">
        <f t="shared" si="10"/>
        <v>-1.5779092702169595E-2</v>
      </c>
      <c r="AZ52" s="10">
        <f t="shared" si="11"/>
        <v>-1.5904907839664466E-2</v>
      </c>
      <c r="BD52" s="5">
        <v>44</v>
      </c>
      <c r="BE52" s="7" t="s">
        <v>77</v>
      </c>
      <c r="BF52" s="8">
        <v>16068000</v>
      </c>
      <c r="BG52" s="9">
        <v>10220</v>
      </c>
      <c r="BH52" s="10">
        <f t="shared" si="12"/>
        <v>-2.0134228187919434E-2</v>
      </c>
      <c r="BI52" s="10">
        <f t="shared" si="13"/>
        <v>-2.0339684237122672E-2</v>
      </c>
    </row>
    <row r="53" spans="2:61" x14ac:dyDescent="0.4">
      <c r="B53" s="5">
        <v>45</v>
      </c>
      <c r="C53" s="7" t="s">
        <v>78</v>
      </c>
      <c r="D53" s="8">
        <v>24054799</v>
      </c>
      <c r="E53" s="9">
        <v>9490</v>
      </c>
      <c r="F53" s="10">
        <f t="shared" si="0"/>
        <v>1.388888888888884E-2</v>
      </c>
      <c r="G53" s="10">
        <f t="shared" si="1"/>
        <v>1.3793322132335769E-2</v>
      </c>
      <c r="K53" s="5">
        <v>45</v>
      </c>
      <c r="L53" s="7" t="s">
        <v>78</v>
      </c>
      <c r="M53" s="8">
        <v>21929315</v>
      </c>
      <c r="N53" s="9">
        <v>12050</v>
      </c>
      <c r="O53" s="10">
        <f t="shared" si="2"/>
        <v>1.0906040268456429E-2</v>
      </c>
      <c r="P53" s="10">
        <f t="shared" si="3"/>
        <v>1.0846998299460354E-2</v>
      </c>
      <c r="T53" s="5">
        <v>45</v>
      </c>
      <c r="U53" s="7" t="s">
        <v>78</v>
      </c>
      <c r="V53" s="8">
        <v>26014161</v>
      </c>
      <c r="W53" s="9">
        <v>9940</v>
      </c>
      <c r="X53" s="10">
        <f t="shared" si="4"/>
        <v>-2.0689655172413834E-2</v>
      </c>
      <c r="Y53" s="10">
        <f t="shared" si="5"/>
        <v>-2.0906684819313712E-2</v>
      </c>
      <c r="AC53" s="5">
        <v>45</v>
      </c>
      <c r="AD53" s="7" t="s">
        <v>78</v>
      </c>
      <c r="AE53" s="8">
        <v>34941838</v>
      </c>
      <c r="AF53" s="9">
        <v>25850</v>
      </c>
      <c r="AG53" s="10">
        <f t="shared" si="6"/>
        <v>0</v>
      </c>
      <c r="AH53" s="10">
        <f t="shared" si="7"/>
        <v>0</v>
      </c>
      <c r="AL53" s="5">
        <v>45</v>
      </c>
      <c r="AM53" s="7" t="s">
        <v>78</v>
      </c>
      <c r="AN53" s="8">
        <v>58492759</v>
      </c>
      <c r="AO53" s="9">
        <v>123700</v>
      </c>
      <c r="AP53" s="10">
        <f t="shared" si="8"/>
        <v>3.255425709515869E-2</v>
      </c>
      <c r="AQ53" s="10">
        <f t="shared" si="9"/>
        <v>3.203559371709333E-2</v>
      </c>
      <c r="AU53" s="5">
        <v>45</v>
      </c>
      <c r="AV53" s="7" t="s">
        <v>78</v>
      </c>
      <c r="AW53" s="8">
        <v>40000000</v>
      </c>
      <c r="AX53" s="9">
        <v>2535</v>
      </c>
      <c r="AY53" s="10">
        <f t="shared" si="10"/>
        <v>5.9523809523809312E-3</v>
      </c>
      <c r="AZ53" s="10">
        <f t="shared" si="11"/>
        <v>5.9347355198145265E-3</v>
      </c>
      <c r="BD53" s="5">
        <v>45</v>
      </c>
      <c r="BE53" s="7" t="s">
        <v>78</v>
      </c>
      <c r="BF53" s="8">
        <v>16068000</v>
      </c>
      <c r="BG53" s="9">
        <v>10430</v>
      </c>
      <c r="BH53" s="10">
        <f t="shared" si="12"/>
        <v>-1.5108593012275739E-2</v>
      </c>
      <c r="BI53" s="10">
        <f t="shared" si="13"/>
        <v>-1.522389060063402E-2</v>
      </c>
    </row>
    <row r="54" spans="2:61" x14ac:dyDescent="0.4">
      <c r="B54" s="5">
        <v>46</v>
      </c>
      <c r="C54" s="7" t="s">
        <v>79</v>
      </c>
      <c r="D54" s="8">
        <v>24054799</v>
      </c>
      <c r="E54" s="9">
        <v>9360</v>
      </c>
      <c r="F54" s="10">
        <f t="shared" si="0"/>
        <v>1.1891891891891992E-2</v>
      </c>
      <c r="G54" s="10">
        <f t="shared" si="1"/>
        <v>1.1821738965166953E-2</v>
      </c>
      <c r="K54" s="5">
        <v>46</v>
      </c>
      <c r="L54" s="7" t="s">
        <v>79</v>
      </c>
      <c r="M54" s="8">
        <v>21929315</v>
      </c>
      <c r="N54" s="9">
        <v>11920</v>
      </c>
      <c r="O54" s="10">
        <f t="shared" si="2"/>
        <v>1.6806722689075571E-3</v>
      </c>
      <c r="P54" s="10">
        <f t="shared" si="3"/>
        <v>1.6792615197199939E-3</v>
      </c>
      <c r="T54" s="5">
        <v>46</v>
      </c>
      <c r="U54" s="7" t="s">
        <v>79</v>
      </c>
      <c r="V54" s="8">
        <v>26014161</v>
      </c>
      <c r="W54" s="9">
        <v>10150</v>
      </c>
      <c r="X54" s="10">
        <f t="shared" si="4"/>
        <v>-4.9019607843137081E-3</v>
      </c>
      <c r="Y54" s="10">
        <f t="shared" si="5"/>
        <v>-4.9140148024290403E-3</v>
      </c>
      <c r="AC54" s="5">
        <v>46</v>
      </c>
      <c r="AD54" s="7" t="s">
        <v>79</v>
      </c>
      <c r="AE54" s="8">
        <v>34941838</v>
      </c>
      <c r="AF54" s="9">
        <v>25850</v>
      </c>
      <c r="AG54" s="10">
        <f t="shared" si="6"/>
        <v>1.3725490196078383E-2</v>
      </c>
      <c r="AH54" s="10">
        <f t="shared" si="7"/>
        <v>1.3632148790057627E-2</v>
      </c>
      <c r="AL54" s="5">
        <v>46</v>
      </c>
      <c r="AM54" s="7" t="s">
        <v>79</v>
      </c>
      <c r="AN54" s="8">
        <v>58492759</v>
      </c>
      <c r="AO54" s="9">
        <v>119800</v>
      </c>
      <c r="AP54" s="10">
        <f t="shared" si="8"/>
        <v>9.2670598146586958E-3</v>
      </c>
      <c r="AQ54" s="10">
        <f t="shared" si="9"/>
        <v>9.2243840657265149E-3</v>
      </c>
      <c r="AU54" s="5">
        <v>46</v>
      </c>
      <c r="AV54" s="7" t="s">
        <v>79</v>
      </c>
      <c r="AW54" s="8">
        <v>40000000</v>
      </c>
      <c r="AX54" s="9">
        <v>2520</v>
      </c>
      <c r="AY54" s="10">
        <f t="shared" si="10"/>
        <v>2.4390243902439046E-2</v>
      </c>
      <c r="AZ54" s="10">
        <f t="shared" si="11"/>
        <v>2.4097551579060524E-2</v>
      </c>
      <c r="BD54" s="5">
        <v>46</v>
      </c>
      <c r="BE54" s="7" t="s">
        <v>79</v>
      </c>
      <c r="BF54" s="8">
        <v>16068000</v>
      </c>
      <c r="BG54" s="9">
        <v>10590</v>
      </c>
      <c r="BH54" s="10">
        <f t="shared" si="12"/>
        <v>6.112224448897785E-2</v>
      </c>
      <c r="BI54" s="10">
        <f t="shared" si="13"/>
        <v>5.9327069289942386E-2</v>
      </c>
    </row>
    <row r="55" spans="2:61" x14ac:dyDescent="0.4">
      <c r="B55" s="5">
        <v>47</v>
      </c>
      <c r="C55" s="7" t="s">
        <v>80</v>
      </c>
      <c r="D55" s="8">
        <v>24054799</v>
      </c>
      <c r="E55" s="9">
        <v>9250</v>
      </c>
      <c r="F55" s="10">
        <f t="shared" si="0"/>
        <v>-2.1574973031284195E-3</v>
      </c>
      <c r="G55" s="10">
        <f t="shared" si="1"/>
        <v>-2.1598280534300086E-3</v>
      </c>
      <c r="K55" s="5">
        <v>47</v>
      </c>
      <c r="L55" s="7" t="s">
        <v>80</v>
      </c>
      <c r="M55" s="8">
        <v>21929315</v>
      </c>
      <c r="N55" s="9">
        <v>11900</v>
      </c>
      <c r="O55" s="10">
        <f t="shared" si="2"/>
        <v>-7.5062552126772264E-3</v>
      </c>
      <c r="P55" s="10">
        <f t="shared" si="3"/>
        <v>-7.5345689219391701E-3</v>
      </c>
      <c r="T55" s="5">
        <v>47</v>
      </c>
      <c r="U55" s="7" t="s">
        <v>80</v>
      </c>
      <c r="V55" s="8">
        <v>26014161</v>
      </c>
      <c r="W55" s="9">
        <v>10200</v>
      </c>
      <c r="X55" s="10">
        <f t="shared" si="4"/>
        <v>-3.5004730368968784E-2</v>
      </c>
      <c r="Y55" s="10">
        <f t="shared" si="5"/>
        <v>-3.563207959192087E-2</v>
      </c>
      <c r="AC55" s="5">
        <v>47</v>
      </c>
      <c r="AD55" s="7" t="s">
        <v>80</v>
      </c>
      <c r="AE55" s="8">
        <v>34941838</v>
      </c>
      <c r="AF55" s="9">
        <v>25500</v>
      </c>
      <c r="AG55" s="10">
        <f t="shared" si="6"/>
        <v>-1.1627906976744207E-2</v>
      </c>
      <c r="AH55" s="10">
        <f t="shared" si="7"/>
        <v>-1.1696039763191298E-2</v>
      </c>
      <c r="AL55" s="5">
        <v>47</v>
      </c>
      <c r="AM55" s="7" t="s">
        <v>80</v>
      </c>
      <c r="AN55" s="8">
        <v>58492759</v>
      </c>
      <c r="AO55" s="9">
        <v>118700</v>
      </c>
      <c r="AP55" s="10">
        <f t="shared" si="8"/>
        <v>-5.862646566164198E-3</v>
      </c>
      <c r="AQ55" s="10">
        <f t="shared" si="9"/>
        <v>-5.8798993428794029E-3</v>
      </c>
      <c r="AU55" s="5">
        <v>47</v>
      </c>
      <c r="AV55" s="7" t="s">
        <v>80</v>
      </c>
      <c r="AW55" s="8">
        <v>40000000</v>
      </c>
      <c r="AX55" s="9">
        <v>2460</v>
      </c>
      <c r="AY55" s="10">
        <f t="shared" si="10"/>
        <v>-1.4028056112224463E-2</v>
      </c>
      <c r="AZ55" s="10">
        <f t="shared" si="11"/>
        <v>-1.4127379259210565E-2</v>
      </c>
      <c r="BD55" s="5">
        <v>47</v>
      </c>
      <c r="BE55" s="7" t="s">
        <v>80</v>
      </c>
      <c r="BF55" s="8">
        <v>16068000</v>
      </c>
      <c r="BG55" s="9">
        <v>9980</v>
      </c>
      <c r="BH55" s="10">
        <f t="shared" si="12"/>
        <v>-8.9374379344587807E-3</v>
      </c>
      <c r="BI55" s="10">
        <f t="shared" si="13"/>
        <v>-8.9776164070983107E-3</v>
      </c>
    </row>
    <row r="56" spans="2:61" x14ac:dyDescent="0.4">
      <c r="B56" s="5">
        <v>48</v>
      </c>
      <c r="C56" s="7" t="s">
        <v>81</v>
      </c>
      <c r="D56" s="8">
        <v>24054799</v>
      </c>
      <c r="E56" s="9">
        <v>9270</v>
      </c>
      <c r="F56" s="10">
        <f t="shared" si="0"/>
        <v>-1.1727078891258014E-2</v>
      </c>
      <c r="G56" s="10">
        <f t="shared" si="1"/>
        <v>-1.1796383440369538E-2</v>
      </c>
      <c r="K56" s="5">
        <v>48</v>
      </c>
      <c r="L56" s="7" t="s">
        <v>81</v>
      </c>
      <c r="M56" s="8">
        <v>21929315</v>
      </c>
      <c r="N56" s="9">
        <v>11990</v>
      </c>
      <c r="O56" s="10">
        <f t="shared" si="2"/>
        <v>8.3472454090149917E-4</v>
      </c>
      <c r="P56" s="10">
        <f t="shared" si="3"/>
        <v>8.343763521195829E-4</v>
      </c>
      <c r="T56" s="5">
        <v>48</v>
      </c>
      <c r="U56" s="7" t="s">
        <v>81</v>
      </c>
      <c r="V56" s="8">
        <v>26014161</v>
      </c>
      <c r="W56" s="9">
        <v>10570</v>
      </c>
      <c r="X56" s="10">
        <f t="shared" si="4"/>
        <v>4.9652432969215399E-2</v>
      </c>
      <c r="Y56" s="10">
        <f t="shared" si="5"/>
        <v>4.845909315167525E-2</v>
      </c>
      <c r="AC56" s="5">
        <v>48</v>
      </c>
      <c r="AD56" s="7" t="s">
        <v>81</v>
      </c>
      <c r="AE56" s="8">
        <v>34941838</v>
      </c>
      <c r="AF56" s="9">
        <v>25800</v>
      </c>
      <c r="AG56" s="10">
        <f t="shared" si="6"/>
        <v>-3.8610038610038533E-3</v>
      </c>
      <c r="AH56" s="10">
        <f t="shared" si="7"/>
        <v>-3.8684767779203176E-3</v>
      </c>
      <c r="AL56" s="5">
        <v>48</v>
      </c>
      <c r="AM56" s="7" t="s">
        <v>81</v>
      </c>
      <c r="AN56" s="8">
        <v>58492759</v>
      </c>
      <c r="AO56" s="9">
        <v>119400</v>
      </c>
      <c r="AP56" s="10">
        <f t="shared" si="8"/>
        <v>-8.3056478405315604E-3</v>
      </c>
      <c r="AQ56" s="10">
        <f t="shared" si="9"/>
        <v>-8.3403319162189508E-3</v>
      </c>
      <c r="AU56" s="5">
        <v>48</v>
      </c>
      <c r="AV56" s="7" t="s">
        <v>81</v>
      </c>
      <c r="AW56" s="8">
        <v>40000000</v>
      </c>
      <c r="AX56" s="9">
        <v>2495</v>
      </c>
      <c r="AY56" s="10">
        <f t="shared" si="10"/>
        <v>-7.9522862823061535E-3</v>
      </c>
      <c r="AZ56" s="10">
        <f t="shared" si="11"/>
        <v>-7.9840743482205313E-3</v>
      </c>
      <c r="BD56" s="5">
        <v>48</v>
      </c>
      <c r="BE56" s="7" t="s">
        <v>81</v>
      </c>
      <c r="BF56" s="8">
        <v>16068000</v>
      </c>
      <c r="BG56" s="9">
        <v>10070</v>
      </c>
      <c r="BH56" s="10">
        <f t="shared" si="12"/>
        <v>3.9880358923229942E-3</v>
      </c>
      <c r="BI56" s="10">
        <f t="shared" si="13"/>
        <v>3.9801047566267265E-3</v>
      </c>
    </row>
    <row r="57" spans="2:61" x14ac:dyDescent="0.4">
      <c r="B57" s="5">
        <v>49</v>
      </c>
      <c r="C57" s="7" t="s">
        <v>82</v>
      </c>
      <c r="D57" s="8">
        <v>24054799</v>
      </c>
      <c r="E57" s="9">
        <v>9380</v>
      </c>
      <c r="F57" s="10">
        <f t="shared" si="0"/>
        <v>2.0674646354733373E-2</v>
      </c>
      <c r="G57" s="10">
        <f t="shared" si="1"/>
        <v>2.0463826650537593E-2</v>
      </c>
      <c r="K57" s="5">
        <v>49</v>
      </c>
      <c r="L57" s="7" t="s">
        <v>82</v>
      </c>
      <c r="M57" s="8">
        <v>21929315</v>
      </c>
      <c r="N57" s="9">
        <v>11980</v>
      </c>
      <c r="O57" s="10">
        <f t="shared" si="2"/>
        <v>3.3649698015530527E-2</v>
      </c>
      <c r="P57" s="10">
        <f t="shared" si="3"/>
        <v>3.3095935335642847E-2</v>
      </c>
      <c r="T57" s="5">
        <v>49</v>
      </c>
      <c r="U57" s="7" t="s">
        <v>82</v>
      </c>
      <c r="V57" s="8">
        <v>26014161</v>
      </c>
      <c r="W57" s="9">
        <v>10070</v>
      </c>
      <c r="X57" s="10">
        <f t="shared" si="4"/>
        <v>1.9230769230769162E-2</v>
      </c>
      <c r="Y57" s="10">
        <f t="shared" si="5"/>
        <v>1.9048194970694411E-2</v>
      </c>
      <c r="AC57" s="5">
        <v>49</v>
      </c>
      <c r="AD57" s="7" t="s">
        <v>82</v>
      </c>
      <c r="AE57" s="8">
        <v>34941838</v>
      </c>
      <c r="AF57" s="9">
        <v>25900</v>
      </c>
      <c r="AG57" s="10">
        <f t="shared" si="6"/>
        <v>1.9342359767891004E-3</v>
      </c>
      <c r="AH57" s="10">
        <f t="shared" si="7"/>
        <v>1.9323677510538603E-3</v>
      </c>
      <c r="AL57" s="5">
        <v>49</v>
      </c>
      <c r="AM57" s="7" t="s">
        <v>82</v>
      </c>
      <c r="AN57" s="8">
        <v>58492759</v>
      </c>
      <c r="AO57" s="9">
        <v>120400</v>
      </c>
      <c r="AP57" s="10">
        <f t="shared" si="8"/>
        <v>1.4321819713563499E-2</v>
      </c>
      <c r="AQ57" s="10">
        <f t="shared" si="9"/>
        <v>1.4220231259098206E-2</v>
      </c>
      <c r="AU57" s="5">
        <v>49</v>
      </c>
      <c r="AV57" s="7" t="s">
        <v>82</v>
      </c>
      <c r="AW57" s="8">
        <v>40000000</v>
      </c>
      <c r="AX57" s="9">
        <v>2515</v>
      </c>
      <c r="AY57" s="10">
        <f t="shared" si="10"/>
        <v>1.4112903225806495E-2</v>
      </c>
      <c r="AZ57" s="10">
        <f t="shared" si="11"/>
        <v>1.4014243374811766E-2</v>
      </c>
      <c r="BD57" s="5">
        <v>49</v>
      </c>
      <c r="BE57" s="7" t="s">
        <v>82</v>
      </c>
      <c r="BF57" s="8">
        <v>16068000</v>
      </c>
      <c r="BG57" s="9">
        <v>10030</v>
      </c>
      <c r="BH57" s="10">
        <f t="shared" si="12"/>
        <v>1.3131313131313105E-2</v>
      </c>
      <c r="BI57" s="10">
        <f t="shared" si="13"/>
        <v>1.3045844833299894E-2</v>
      </c>
    </row>
    <row r="58" spans="2:61" x14ac:dyDescent="0.4">
      <c r="B58" s="5">
        <v>50</v>
      </c>
      <c r="C58" s="7" t="s">
        <v>83</v>
      </c>
      <c r="D58" s="8">
        <v>24054799</v>
      </c>
      <c r="E58" s="9">
        <v>9190</v>
      </c>
      <c r="F58" s="10">
        <f t="shared" si="0"/>
        <v>-4.3336944745395733E-3</v>
      </c>
      <c r="G58" s="10">
        <f t="shared" si="1"/>
        <v>-4.3431121471651365E-3</v>
      </c>
      <c r="K58" s="5">
        <v>50</v>
      </c>
      <c r="L58" s="7" t="s">
        <v>83</v>
      </c>
      <c r="M58" s="8">
        <v>21929315</v>
      </c>
      <c r="N58" s="9">
        <v>11590</v>
      </c>
      <c r="O58" s="10">
        <f t="shared" si="2"/>
        <v>7.8260869565216495E-3</v>
      </c>
      <c r="P58" s="10">
        <f t="shared" si="3"/>
        <v>7.7956219824558701E-3</v>
      </c>
      <c r="T58" s="5">
        <v>50</v>
      </c>
      <c r="U58" s="7" t="s">
        <v>83</v>
      </c>
      <c r="V58" s="8">
        <v>26014161</v>
      </c>
      <c r="W58" s="9">
        <v>9880</v>
      </c>
      <c r="X58" s="10">
        <f t="shared" si="4"/>
        <v>-2.7559055118110187E-2</v>
      </c>
      <c r="Y58" s="10">
        <f t="shared" si="5"/>
        <v>-2.7945930390559336E-2</v>
      </c>
      <c r="AC58" s="5">
        <v>50</v>
      </c>
      <c r="AD58" s="7" t="s">
        <v>83</v>
      </c>
      <c r="AE58" s="8">
        <v>35798007</v>
      </c>
      <c r="AF58" s="9">
        <v>25850</v>
      </c>
      <c r="AG58" s="10">
        <f t="shared" si="6"/>
        <v>-7.6775431861804133E-3</v>
      </c>
      <c r="AH58" s="10">
        <f t="shared" si="7"/>
        <v>-7.7071672449377784E-3</v>
      </c>
      <c r="AL58" s="5">
        <v>50</v>
      </c>
      <c r="AM58" s="7" t="s">
        <v>83</v>
      </c>
      <c r="AN58" s="8">
        <v>58492759</v>
      </c>
      <c r="AO58" s="9">
        <v>118700</v>
      </c>
      <c r="AP58" s="10">
        <f t="shared" si="8"/>
        <v>-6.6945606694560622E-3</v>
      </c>
      <c r="AQ58" s="10">
        <f t="shared" si="9"/>
        <v>-6.717069755943E-3</v>
      </c>
      <c r="AU58" s="5">
        <v>50</v>
      </c>
      <c r="AV58" s="7" t="s">
        <v>83</v>
      </c>
      <c r="AW58" s="8">
        <v>40000000</v>
      </c>
      <c r="AX58" s="9">
        <v>2480</v>
      </c>
      <c r="AY58" s="10">
        <f t="shared" si="10"/>
        <v>-8.0000000000000071E-3</v>
      </c>
      <c r="AZ58" s="10">
        <f t="shared" si="11"/>
        <v>-8.0321716972642666E-3</v>
      </c>
      <c r="BD58" s="5">
        <v>50</v>
      </c>
      <c r="BE58" s="7" t="s">
        <v>83</v>
      </c>
      <c r="BF58" s="8">
        <v>16068000</v>
      </c>
      <c r="BG58" s="9">
        <v>9900</v>
      </c>
      <c r="BH58" s="10">
        <f t="shared" si="12"/>
        <v>-7.0210631895687436E-3</v>
      </c>
      <c r="BI58" s="10">
        <f t="shared" si="13"/>
        <v>-7.0458268332027575E-3</v>
      </c>
    </row>
    <row r="59" spans="2:61" x14ac:dyDescent="0.4">
      <c r="B59" s="5">
        <v>51</v>
      </c>
      <c r="C59" s="7" t="s">
        <v>84</v>
      </c>
      <c r="D59" s="8">
        <v>24054799</v>
      </c>
      <c r="E59" s="9">
        <v>9230</v>
      </c>
      <c r="F59" s="10">
        <f t="shared" si="0"/>
        <v>1.5401540154015292E-2</v>
      </c>
      <c r="G59" s="10">
        <f t="shared" si="1"/>
        <v>1.5284140325373216E-2</v>
      </c>
      <c r="K59" s="5">
        <v>51</v>
      </c>
      <c r="L59" s="7" t="s">
        <v>84</v>
      </c>
      <c r="M59" s="8">
        <v>21929315</v>
      </c>
      <c r="N59" s="9">
        <v>11500</v>
      </c>
      <c r="O59" s="10">
        <f t="shared" si="2"/>
        <v>0</v>
      </c>
      <c r="P59" s="10">
        <f t="shared" si="3"/>
        <v>0</v>
      </c>
      <c r="T59" s="5">
        <v>51</v>
      </c>
      <c r="U59" s="7" t="s">
        <v>84</v>
      </c>
      <c r="V59" s="8">
        <v>26014161</v>
      </c>
      <c r="W59" s="9">
        <v>10160</v>
      </c>
      <c r="X59" s="10">
        <f t="shared" si="4"/>
        <v>5.9405940594059459E-3</v>
      </c>
      <c r="Y59" s="10">
        <f t="shared" si="5"/>
        <v>5.9230183031220712E-3</v>
      </c>
      <c r="AC59" s="5">
        <v>51</v>
      </c>
      <c r="AD59" s="7" t="s">
        <v>84</v>
      </c>
      <c r="AE59" s="8">
        <v>35798007</v>
      </c>
      <c r="AF59" s="9">
        <v>26050</v>
      </c>
      <c r="AG59" s="10">
        <f t="shared" si="6"/>
        <v>-3.8240917782026429E-3</v>
      </c>
      <c r="AH59" s="10">
        <f t="shared" si="7"/>
        <v>-3.8314223115559487E-3</v>
      </c>
      <c r="AL59" s="5">
        <v>51</v>
      </c>
      <c r="AM59" s="7" t="s">
        <v>84</v>
      </c>
      <c r="AN59" s="8">
        <v>58492759</v>
      </c>
      <c r="AO59" s="9">
        <v>119500</v>
      </c>
      <c r="AP59" s="10">
        <f t="shared" si="8"/>
        <v>1.5293118096856517E-2</v>
      </c>
      <c r="AQ59" s="10">
        <f t="shared" si="9"/>
        <v>1.5177357105334426E-2</v>
      </c>
      <c r="AU59" s="5">
        <v>51</v>
      </c>
      <c r="AV59" s="7" t="s">
        <v>84</v>
      </c>
      <c r="AW59" s="8">
        <v>40000000</v>
      </c>
      <c r="AX59" s="9">
        <v>2500</v>
      </c>
      <c r="AY59" s="10">
        <f t="shared" si="10"/>
        <v>8.0645161290322509E-3</v>
      </c>
      <c r="AZ59" s="10">
        <f t="shared" si="11"/>
        <v>8.0321716972642527E-3</v>
      </c>
      <c r="BD59" s="5">
        <v>51</v>
      </c>
      <c r="BE59" s="7" t="s">
        <v>84</v>
      </c>
      <c r="BF59" s="8">
        <v>16068000</v>
      </c>
      <c r="BG59" s="9">
        <v>9970</v>
      </c>
      <c r="BH59" s="10">
        <f t="shared" si="12"/>
        <v>2.9958677685950397E-2</v>
      </c>
      <c r="BI59" s="10">
        <f t="shared" si="13"/>
        <v>2.9518682685261297E-2</v>
      </c>
    </row>
    <row r="60" spans="2:61" x14ac:dyDescent="0.4">
      <c r="B60" s="5">
        <v>52</v>
      </c>
      <c r="C60" s="7" t="s">
        <v>85</v>
      </c>
      <c r="D60" s="8">
        <v>24054799</v>
      </c>
      <c r="E60" s="9">
        <v>9090</v>
      </c>
      <c r="F60" s="10">
        <f t="shared" si="0"/>
        <v>-2.2580645161290325E-2</v>
      </c>
      <c r="G60" s="10">
        <f t="shared" si="1"/>
        <v>-2.2839491969822791E-2</v>
      </c>
      <c r="K60" s="5">
        <v>52</v>
      </c>
      <c r="L60" s="7" t="s">
        <v>85</v>
      </c>
      <c r="M60" s="8">
        <v>21929315</v>
      </c>
      <c r="N60" s="9">
        <v>11500</v>
      </c>
      <c r="O60" s="10">
        <f t="shared" si="2"/>
        <v>-7.7653149266608823E-3</v>
      </c>
      <c r="P60" s="10">
        <f t="shared" si="3"/>
        <v>-7.7956219824559265E-3</v>
      </c>
      <c r="T60" s="5">
        <v>52</v>
      </c>
      <c r="U60" s="7" t="s">
        <v>85</v>
      </c>
      <c r="V60" s="8">
        <v>26014161</v>
      </c>
      <c r="W60" s="9">
        <v>10100</v>
      </c>
      <c r="X60" s="10">
        <f t="shared" si="4"/>
        <v>-5.9055118110236116E-3</v>
      </c>
      <c r="Y60" s="10">
        <f t="shared" si="5"/>
        <v>-5.9230183031220556E-3</v>
      </c>
      <c r="AC60" s="5">
        <v>52</v>
      </c>
      <c r="AD60" s="7" t="s">
        <v>85</v>
      </c>
      <c r="AE60" s="8">
        <v>35798007</v>
      </c>
      <c r="AF60" s="9">
        <v>26150</v>
      </c>
      <c r="AG60" s="10">
        <f t="shared" si="6"/>
        <v>-2.0599250936329638E-2</v>
      </c>
      <c r="AH60" s="10">
        <f t="shared" si="7"/>
        <v>-2.0814374895271989E-2</v>
      </c>
      <c r="AL60" s="5">
        <v>52</v>
      </c>
      <c r="AM60" s="7" t="s">
        <v>85</v>
      </c>
      <c r="AN60" s="8">
        <v>58492759</v>
      </c>
      <c r="AO60" s="9">
        <v>117700</v>
      </c>
      <c r="AP60" s="10">
        <f t="shared" si="8"/>
        <v>-6.7510548523206371E-3</v>
      </c>
      <c r="AQ60" s="10">
        <f t="shared" si="9"/>
        <v>-6.7739463089548048E-3</v>
      </c>
      <c r="AU60" s="5">
        <v>52</v>
      </c>
      <c r="AV60" s="7" t="s">
        <v>85</v>
      </c>
      <c r="AW60" s="8">
        <v>40000000</v>
      </c>
      <c r="AX60" s="9">
        <v>2480</v>
      </c>
      <c r="AY60" s="10">
        <f t="shared" si="10"/>
        <v>-2.1696252465483234E-2</v>
      </c>
      <c r="AZ60" s="10">
        <f t="shared" si="11"/>
        <v>-2.193507686625568E-2</v>
      </c>
      <c r="BD60" s="5">
        <v>52</v>
      </c>
      <c r="BE60" s="7" t="s">
        <v>85</v>
      </c>
      <c r="BF60" s="8">
        <v>16068000</v>
      </c>
      <c r="BG60" s="9">
        <v>9680</v>
      </c>
      <c r="BH60" s="10">
        <f t="shared" si="12"/>
        <v>-7.1794871794871318E-3</v>
      </c>
      <c r="BI60" s="10">
        <f t="shared" si="13"/>
        <v>-7.2053837212701123E-3</v>
      </c>
    </row>
    <row r="61" spans="2:61" x14ac:dyDescent="0.4">
      <c r="B61" s="5">
        <v>53</v>
      </c>
      <c r="C61" s="7" t="s">
        <v>86</v>
      </c>
      <c r="D61" s="8">
        <v>24054799</v>
      </c>
      <c r="E61" s="9">
        <v>9300</v>
      </c>
      <c r="F61" s="10">
        <f t="shared" si="0"/>
        <v>-3.7267080745341574E-2</v>
      </c>
      <c r="G61" s="10">
        <f t="shared" si="1"/>
        <v>-3.7979248065216333E-2</v>
      </c>
      <c r="K61" s="5">
        <v>53</v>
      </c>
      <c r="L61" s="7" t="s">
        <v>86</v>
      </c>
      <c r="M61" s="8">
        <v>21929315</v>
      </c>
      <c r="N61" s="9">
        <v>11590</v>
      </c>
      <c r="O61" s="10">
        <f t="shared" si="2"/>
        <v>-5.1502145922747156E-3</v>
      </c>
      <c r="P61" s="10">
        <f t="shared" si="3"/>
        <v>-5.163522660049269E-3</v>
      </c>
      <c r="T61" s="5">
        <v>53</v>
      </c>
      <c r="U61" s="7" t="s">
        <v>86</v>
      </c>
      <c r="V61" s="8">
        <v>26014161</v>
      </c>
      <c r="W61" s="9">
        <v>10160</v>
      </c>
      <c r="X61" s="10">
        <f t="shared" si="4"/>
        <v>-3.1458531935176337E-2</v>
      </c>
      <c r="Y61" s="10">
        <f t="shared" si="5"/>
        <v>-3.1963980257869951E-2</v>
      </c>
      <c r="AC61" s="5">
        <v>53</v>
      </c>
      <c r="AD61" s="7" t="s">
        <v>86</v>
      </c>
      <c r="AE61" s="8">
        <v>35798007</v>
      </c>
      <c r="AF61" s="9">
        <v>26700</v>
      </c>
      <c r="AG61" s="10">
        <f t="shared" si="6"/>
        <v>-1.4760147601476037E-2</v>
      </c>
      <c r="AH61" s="10">
        <f t="shared" si="7"/>
        <v>-1.4870162479451393E-2</v>
      </c>
      <c r="AL61" s="5">
        <v>53</v>
      </c>
      <c r="AM61" s="7" t="s">
        <v>86</v>
      </c>
      <c r="AN61" s="8">
        <v>58492759</v>
      </c>
      <c r="AO61" s="9">
        <v>118500</v>
      </c>
      <c r="AP61" s="10">
        <f t="shared" si="8"/>
        <v>1.3686911890504749E-2</v>
      </c>
      <c r="AQ61" s="10">
        <f t="shared" si="9"/>
        <v>1.3594092097163191E-2</v>
      </c>
      <c r="AU61" s="5">
        <v>53</v>
      </c>
      <c r="AV61" s="7" t="s">
        <v>86</v>
      </c>
      <c r="AW61" s="8">
        <v>40000000</v>
      </c>
      <c r="AX61" s="9">
        <v>2535</v>
      </c>
      <c r="AY61" s="10">
        <f t="shared" si="10"/>
        <v>-1.3618677042801508E-2</v>
      </c>
      <c r="AZ61" s="10">
        <f t="shared" si="11"/>
        <v>-1.3712261863981895E-2</v>
      </c>
      <c r="BD61" s="5">
        <v>53</v>
      </c>
      <c r="BE61" s="7" t="s">
        <v>86</v>
      </c>
      <c r="BF61" s="8">
        <v>16068000</v>
      </c>
      <c r="BG61" s="9">
        <v>9750</v>
      </c>
      <c r="BH61" s="10">
        <f t="shared" si="12"/>
        <v>-4.0858018386108474E-3</v>
      </c>
      <c r="BI61" s="10">
        <f t="shared" si="13"/>
        <v>-4.0941715326632258E-3</v>
      </c>
    </row>
    <row r="62" spans="2:61" x14ac:dyDescent="0.4">
      <c r="B62" s="5">
        <v>54</v>
      </c>
      <c r="C62" s="7" t="s">
        <v>87</v>
      </c>
      <c r="D62" s="8">
        <v>24054799</v>
      </c>
      <c r="E62" s="9">
        <v>9660</v>
      </c>
      <c r="F62" s="10">
        <f t="shared" si="0"/>
        <v>4.1580041580040472E-3</v>
      </c>
      <c r="G62" s="10">
        <f t="shared" si="1"/>
        <v>4.1493835468113969E-3</v>
      </c>
      <c r="K62" s="5">
        <v>54</v>
      </c>
      <c r="L62" s="7" t="s">
        <v>87</v>
      </c>
      <c r="M62" s="8">
        <v>21929315</v>
      </c>
      <c r="N62" s="9">
        <v>11650</v>
      </c>
      <c r="O62" s="10">
        <f t="shared" si="2"/>
        <v>1.4808362369338024E-2</v>
      </c>
      <c r="P62" s="10">
        <f t="shared" si="3"/>
        <v>1.4699789120289256E-2</v>
      </c>
      <c r="T62" s="5">
        <v>54</v>
      </c>
      <c r="U62" s="7" t="s">
        <v>87</v>
      </c>
      <c r="V62" s="8">
        <v>26014161</v>
      </c>
      <c r="W62" s="9">
        <v>10490</v>
      </c>
      <c r="X62" s="10">
        <f t="shared" si="4"/>
        <v>1.6472868217054293E-2</v>
      </c>
      <c r="Y62" s="10">
        <f t="shared" si="5"/>
        <v>1.633866235478916E-2</v>
      </c>
      <c r="AC62" s="5">
        <v>54</v>
      </c>
      <c r="AD62" s="7" t="s">
        <v>87</v>
      </c>
      <c r="AE62" s="8">
        <v>35798007</v>
      </c>
      <c r="AF62" s="9">
        <v>27100</v>
      </c>
      <c r="AG62" s="10">
        <f t="shared" si="6"/>
        <v>3.7037037037037646E-3</v>
      </c>
      <c r="AH62" s="10">
        <f t="shared" si="7"/>
        <v>3.6968618813262026E-3</v>
      </c>
      <c r="AL62" s="5">
        <v>54</v>
      </c>
      <c r="AM62" s="7" t="s">
        <v>87</v>
      </c>
      <c r="AN62" s="8">
        <v>58492759</v>
      </c>
      <c r="AO62" s="9">
        <v>116900</v>
      </c>
      <c r="AP62" s="10">
        <f t="shared" si="8"/>
        <v>-3.4100596760443525E-3</v>
      </c>
      <c r="AQ62" s="10">
        <f t="shared" si="9"/>
        <v>-3.4158871814070719E-3</v>
      </c>
      <c r="AU62" s="5">
        <v>54</v>
      </c>
      <c r="AV62" s="7" t="s">
        <v>87</v>
      </c>
      <c r="AW62" s="8">
        <v>40000000</v>
      </c>
      <c r="AX62" s="9">
        <v>2570</v>
      </c>
      <c r="AY62" s="10">
        <f t="shared" si="10"/>
        <v>7.8431372549019329E-3</v>
      </c>
      <c r="AZ62" s="10">
        <f t="shared" si="11"/>
        <v>7.8125397367936247E-3</v>
      </c>
      <c r="BD62" s="5">
        <v>54</v>
      </c>
      <c r="BE62" s="7" t="s">
        <v>87</v>
      </c>
      <c r="BF62" s="8">
        <v>16068000</v>
      </c>
      <c r="BG62" s="9">
        <v>9790</v>
      </c>
      <c r="BH62" s="10">
        <f t="shared" si="12"/>
        <v>1.5560165975103679E-2</v>
      </c>
      <c r="BI62" s="10">
        <f t="shared" si="13"/>
        <v>1.5440347919964714E-2</v>
      </c>
    </row>
    <row r="63" spans="2:61" x14ac:dyDescent="0.4">
      <c r="B63" s="5">
        <v>55</v>
      </c>
      <c r="C63" s="7" t="s">
        <v>88</v>
      </c>
      <c r="D63" s="8">
        <v>24054799</v>
      </c>
      <c r="E63" s="9">
        <v>9620</v>
      </c>
      <c r="F63" s="10">
        <f t="shared" si="0"/>
        <v>-4.1832669322709126E-2</v>
      </c>
      <c r="G63" s="10">
        <f t="shared" si="1"/>
        <v>-4.2732849585967979E-2</v>
      </c>
      <c r="K63" s="5">
        <v>55</v>
      </c>
      <c r="L63" s="7" t="s">
        <v>88</v>
      </c>
      <c r="M63" s="8">
        <v>21929315</v>
      </c>
      <c r="N63" s="9">
        <v>11480</v>
      </c>
      <c r="O63" s="10">
        <f t="shared" si="2"/>
        <v>-1.4592274678111639E-2</v>
      </c>
      <c r="P63" s="10">
        <f t="shared" si="3"/>
        <v>-1.4699789120289264E-2</v>
      </c>
      <c r="T63" s="5">
        <v>55</v>
      </c>
      <c r="U63" s="7" t="s">
        <v>88</v>
      </c>
      <c r="V63" s="8">
        <v>26014161</v>
      </c>
      <c r="W63" s="9">
        <v>10320</v>
      </c>
      <c r="X63" s="10">
        <f t="shared" si="4"/>
        <v>-4.3558850787766445E-2</v>
      </c>
      <c r="Y63" s="10">
        <f t="shared" si="5"/>
        <v>-4.4536019216626609E-2</v>
      </c>
      <c r="AC63" s="5">
        <v>55</v>
      </c>
      <c r="AD63" s="7" t="s">
        <v>88</v>
      </c>
      <c r="AE63" s="8">
        <v>35798007</v>
      </c>
      <c r="AF63" s="9">
        <v>27000</v>
      </c>
      <c r="AG63" s="10">
        <f t="shared" si="6"/>
        <v>-4.7619047619047672E-2</v>
      </c>
      <c r="AH63" s="10">
        <f t="shared" si="7"/>
        <v>-4.8790164169432056E-2</v>
      </c>
      <c r="AL63" s="5">
        <v>55</v>
      </c>
      <c r="AM63" s="7" t="s">
        <v>88</v>
      </c>
      <c r="AN63" s="8">
        <v>58492759</v>
      </c>
      <c r="AO63" s="9">
        <v>117300</v>
      </c>
      <c r="AP63" s="10">
        <f t="shared" si="8"/>
        <v>-2.7363184079602032E-2</v>
      </c>
      <c r="AQ63" s="10">
        <f t="shared" si="9"/>
        <v>-2.7744528633655334E-2</v>
      </c>
      <c r="AU63" s="5">
        <v>55</v>
      </c>
      <c r="AV63" s="7" t="s">
        <v>88</v>
      </c>
      <c r="AW63" s="8">
        <v>40000000</v>
      </c>
      <c r="AX63" s="9">
        <v>2550</v>
      </c>
      <c r="AY63" s="10">
        <f t="shared" si="10"/>
        <v>-2.2988505747126409E-2</v>
      </c>
      <c r="AZ63" s="10">
        <f t="shared" si="11"/>
        <v>-2.3256862164267235E-2</v>
      </c>
      <c r="BD63" s="5">
        <v>55</v>
      </c>
      <c r="BE63" s="7" t="s">
        <v>88</v>
      </c>
      <c r="BF63" s="8">
        <v>16068000</v>
      </c>
      <c r="BG63" s="9">
        <v>9640</v>
      </c>
      <c r="BH63" s="10">
        <f t="shared" si="12"/>
        <v>-3.6000000000000032E-2</v>
      </c>
      <c r="BI63" s="10">
        <f t="shared" si="13"/>
        <v>-3.666398437159147E-2</v>
      </c>
    </row>
    <row r="64" spans="2:61" x14ac:dyDescent="0.4">
      <c r="B64" s="5">
        <v>56</v>
      </c>
      <c r="C64" s="7" t="s">
        <v>89</v>
      </c>
      <c r="D64" s="8">
        <v>24054799</v>
      </c>
      <c r="E64" s="9">
        <v>10040</v>
      </c>
      <c r="F64" s="10">
        <f t="shared" si="0"/>
        <v>-1.6650342801175277E-2</v>
      </c>
      <c r="G64" s="10">
        <f t="shared" si="1"/>
        <v>-1.6790517912991011E-2</v>
      </c>
      <c r="K64" s="5">
        <v>56</v>
      </c>
      <c r="L64" s="7" t="s">
        <v>89</v>
      </c>
      <c r="M64" s="8">
        <v>21929315</v>
      </c>
      <c r="N64" s="9">
        <v>11650</v>
      </c>
      <c r="O64" s="10">
        <f t="shared" si="2"/>
        <v>-2.8356964136780682E-2</v>
      </c>
      <c r="P64" s="10">
        <f t="shared" si="3"/>
        <v>-2.8766789027713336E-2</v>
      </c>
      <c r="T64" s="5">
        <v>56</v>
      </c>
      <c r="U64" s="7" t="s">
        <v>89</v>
      </c>
      <c r="V64" s="8">
        <v>26014161</v>
      </c>
      <c r="W64" s="9">
        <v>10790</v>
      </c>
      <c r="X64" s="10">
        <f t="shared" si="4"/>
        <v>1.6965127238454336E-2</v>
      </c>
      <c r="Y64" s="10">
        <f t="shared" si="5"/>
        <v>1.6822826644151571E-2</v>
      </c>
      <c r="AC64" s="5">
        <v>56</v>
      </c>
      <c r="AD64" s="7" t="s">
        <v>89</v>
      </c>
      <c r="AE64" s="8">
        <v>35798007</v>
      </c>
      <c r="AF64" s="9">
        <v>28350</v>
      </c>
      <c r="AG64" s="10">
        <f t="shared" si="6"/>
        <v>-2.7444253859348233E-2</v>
      </c>
      <c r="AH64" s="10">
        <f t="shared" si="7"/>
        <v>-2.7827882622740344E-2</v>
      </c>
      <c r="AL64" s="5">
        <v>56</v>
      </c>
      <c r="AM64" s="7" t="s">
        <v>89</v>
      </c>
      <c r="AN64" s="8">
        <v>58492759</v>
      </c>
      <c r="AO64" s="9">
        <v>120600</v>
      </c>
      <c r="AP64" s="10">
        <f t="shared" si="8"/>
        <v>6.6777963272119933E-3</v>
      </c>
      <c r="AQ64" s="10">
        <f t="shared" si="9"/>
        <v>6.6555986117360667E-3</v>
      </c>
      <c r="AU64" s="5">
        <v>56</v>
      </c>
      <c r="AV64" s="7" t="s">
        <v>89</v>
      </c>
      <c r="AW64" s="8">
        <v>40000000</v>
      </c>
      <c r="AX64" s="9">
        <v>2610</v>
      </c>
      <c r="AY64" s="10">
        <f t="shared" si="10"/>
        <v>-7.6045627376425395E-3</v>
      </c>
      <c r="AZ64" s="10">
        <f t="shared" si="11"/>
        <v>-7.633624855071095E-3</v>
      </c>
      <c r="BD64" s="5">
        <v>56</v>
      </c>
      <c r="BE64" s="7" t="s">
        <v>89</v>
      </c>
      <c r="BF64" s="8">
        <v>16068000</v>
      </c>
      <c r="BG64" s="9">
        <v>10000</v>
      </c>
      <c r="BH64" s="10">
        <f t="shared" si="12"/>
        <v>-1.6715830875122961E-2</v>
      </c>
      <c r="BI64" s="10">
        <f t="shared" si="13"/>
        <v>-1.6857117066422952E-2</v>
      </c>
    </row>
    <row r="65" spans="2:61" x14ac:dyDescent="0.4">
      <c r="B65" s="5">
        <v>57</v>
      </c>
      <c r="C65" s="7" t="s">
        <v>90</v>
      </c>
      <c r="D65" s="8">
        <v>24054799</v>
      </c>
      <c r="E65" s="9">
        <v>10210</v>
      </c>
      <c r="F65" s="10">
        <f t="shared" si="0"/>
        <v>-2.390057361376674E-2</v>
      </c>
      <c r="G65" s="10">
        <f t="shared" si="1"/>
        <v>-2.4190826460202666E-2</v>
      </c>
      <c r="K65" s="5">
        <v>57</v>
      </c>
      <c r="L65" s="7" t="s">
        <v>90</v>
      </c>
      <c r="M65" s="8">
        <v>21929315</v>
      </c>
      <c r="N65" s="9">
        <v>11990</v>
      </c>
      <c r="O65" s="10">
        <f t="shared" si="2"/>
        <v>-2.5995125913891193E-2</v>
      </c>
      <c r="P65" s="10">
        <f t="shared" si="3"/>
        <v>-2.6338971156939315E-2</v>
      </c>
      <c r="T65" s="5">
        <v>57</v>
      </c>
      <c r="U65" s="7" t="s">
        <v>90</v>
      </c>
      <c r="V65" s="8">
        <v>26014161</v>
      </c>
      <c r="W65" s="9">
        <v>10610</v>
      </c>
      <c r="X65" s="10">
        <f t="shared" si="4"/>
        <v>-2.031394275161591E-2</v>
      </c>
      <c r="Y65" s="10">
        <f t="shared" si="5"/>
        <v>-2.0523108387007504E-2</v>
      </c>
      <c r="AC65" s="5">
        <v>57</v>
      </c>
      <c r="AD65" s="7" t="s">
        <v>90</v>
      </c>
      <c r="AE65" s="8">
        <v>35798007</v>
      </c>
      <c r="AF65" s="9">
        <v>29150</v>
      </c>
      <c r="AG65" s="10">
        <f t="shared" si="6"/>
        <v>-2.0168067226890796E-2</v>
      </c>
      <c r="AH65" s="10">
        <f t="shared" si="7"/>
        <v>-2.0374219195137423E-2</v>
      </c>
      <c r="AL65" s="5">
        <v>57</v>
      </c>
      <c r="AM65" s="7" t="s">
        <v>90</v>
      </c>
      <c r="AN65" s="8">
        <v>58492759</v>
      </c>
      <c r="AO65" s="9">
        <v>119800</v>
      </c>
      <c r="AP65" s="10">
        <f t="shared" si="8"/>
        <v>-1.7227235438884381E-2</v>
      </c>
      <c r="AQ65" s="10">
        <f t="shared" si="9"/>
        <v>-1.7377350805876917E-2</v>
      </c>
      <c r="AU65" s="5">
        <v>57</v>
      </c>
      <c r="AV65" s="7" t="s">
        <v>90</v>
      </c>
      <c r="AW65" s="8">
        <v>40000000</v>
      </c>
      <c r="AX65" s="9">
        <v>2630</v>
      </c>
      <c r="AY65" s="10">
        <f t="shared" si="10"/>
        <v>-2.5925925925925908E-2</v>
      </c>
      <c r="AZ65" s="10">
        <f t="shared" si="11"/>
        <v>-2.6267926820610188E-2</v>
      </c>
      <c r="BD65" s="5">
        <v>57</v>
      </c>
      <c r="BE65" s="7" t="s">
        <v>90</v>
      </c>
      <c r="BF65" s="8">
        <v>16068000</v>
      </c>
      <c r="BG65" s="9">
        <v>10170</v>
      </c>
      <c r="BH65" s="10">
        <f t="shared" si="12"/>
        <v>-2.4928092042186045E-2</v>
      </c>
      <c r="BI65" s="10">
        <f t="shared" si="13"/>
        <v>-2.5244058952212538E-2</v>
      </c>
    </row>
    <row r="66" spans="2:61" x14ac:dyDescent="0.4">
      <c r="B66" s="5">
        <v>58</v>
      </c>
      <c r="C66" s="7" t="s">
        <v>91</v>
      </c>
      <c r="D66" s="8">
        <v>24054799</v>
      </c>
      <c r="E66" s="9">
        <v>10460</v>
      </c>
      <c r="F66" s="10">
        <f t="shared" si="0"/>
        <v>8.6788813886209404E-3</v>
      </c>
      <c r="G66" s="10">
        <f t="shared" si="1"/>
        <v>8.6414363953408006E-3</v>
      </c>
      <c r="K66" s="5">
        <v>58</v>
      </c>
      <c r="L66" s="7" t="s">
        <v>91</v>
      </c>
      <c r="M66" s="8">
        <v>21929315</v>
      </c>
      <c r="N66" s="9">
        <v>12310</v>
      </c>
      <c r="O66" s="10">
        <f t="shared" si="2"/>
        <v>1.7355371900826366E-2</v>
      </c>
      <c r="P66" s="10">
        <f t="shared" si="3"/>
        <v>1.720648759366666E-2</v>
      </c>
      <c r="T66" s="5">
        <v>58</v>
      </c>
      <c r="U66" s="7" t="s">
        <v>91</v>
      </c>
      <c r="V66" s="8">
        <v>26014161</v>
      </c>
      <c r="W66" s="9">
        <v>10830</v>
      </c>
      <c r="X66" s="10">
        <f t="shared" si="4"/>
        <v>-1.2762078395624377E-2</v>
      </c>
      <c r="Y66" s="10">
        <f t="shared" si="5"/>
        <v>-1.2844213274239581E-2</v>
      </c>
      <c r="AC66" s="5">
        <v>58</v>
      </c>
      <c r="AD66" s="7" t="s">
        <v>91</v>
      </c>
      <c r="AE66" s="8">
        <v>35798007</v>
      </c>
      <c r="AF66" s="9">
        <v>29750</v>
      </c>
      <c r="AG66" s="10">
        <f t="shared" si="6"/>
        <v>-3.3500837520937798E-3</v>
      </c>
      <c r="AH66" s="10">
        <f t="shared" si="7"/>
        <v>-3.3557078469723042E-3</v>
      </c>
      <c r="AL66" s="5">
        <v>58</v>
      </c>
      <c r="AM66" s="7" t="s">
        <v>91</v>
      </c>
      <c r="AN66" s="8">
        <v>58492759</v>
      </c>
      <c r="AO66" s="9">
        <v>121900</v>
      </c>
      <c r="AP66" s="10">
        <f t="shared" si="8"/>
        <v>-1.0551948051948035E-2</v>
      </c>
      <c r="AQ66" s="10">
        <f t="shared" si="9"/>
        <v>-1.0608014612193545E-2</v>
      </c>
      <c r="AU66" s="5">
        <v>58</v>
      </c>
      <c r="AV66" s="7" t="s">
        <v>91</v>
      </c>
      <c r="AW66" s="8">
        <v>40000000</v>
      </c>
      <c r="AX66" s="9">
        <v>2700</v>
      </c>
      <c r="AY66" s="10">
        <f t="shared" si="10"/>
        <v>0</v>
      </c>
      <c r="AZ66" s="10">
        <f t="shared" si="11"/>
        <v>0</v>
      </c>
      <c r="BD66" s="5">
        <v>58</v>
      </c>
      <c r="BE66" s="7" t="s">
        <v>91</v>
      </c>
      <c r="BF66" s="8">
        <v>16068000</v>
      </c>
      <c r="BG66" s="9">
        <v>10430</v>
      </c>
      <c r="BH66" s="10">
        <f t="shared" si="12"/>
        <v>-9.4966761633428209E-3</v>
      </c>
      <c r="BI66" s="10">
        <f t="shared" si="13"/>
        <v>-9.5420571332030472E-3</v>
      </c>
    </row>
    <row r="67" spans="2:61" x14ac:dyDescent="0.4">
      <c r="B67" s="5">
        <v>59</v>
      </c>
      <c r="C67" s="7" t="s">
        <v>92</v>
      </c>
      <c r="D67" s="8">
        <v>24054799</v>
      </c>
      <c r="E67" s="9">
        <v>10370</v>
      </c>
      <c r="F67" s="10">
        <f t="shared" si="0"/>
        <v>-3.445065176908757E-2</v>
      </c>
      <c r="G67" s="10">
        <f t="shared" si="1"/>
        <v>-3.5058066839282719E-2</v>
      </c>
      <c r="K67" s="5">
        <v>59</v>
      </c>
      <c r="L67" s="7" t="s">
        <v>92</v>
      </c>
      <c r="M67" s="8">
        <v>21929315</v>
      </c>
      <c r="N67" s="9">
        <v>12100</v>
      </c>
      <c r="O67" s="10">
        <f t="shared" si="2"/>
        <v>4.983388704318914E-3</v>
      </c>
      <c r="P67" s="10">
        <f t="shared" si="3"/>
        <v>4.9710127220204021E-3</v>
      </c>
      <c r="T67" s="5">
        <v>59</v>
      </c>
      <c r="U67" s="7" t="s">
        <v>92</v>
      </c>
      <c r="V67" s="8">
        <v>26014161</v>
      </c>
      <c r="W67" s="9">
        <v>10970</v>
      </c>
      <c r="X67" s="10">
        <f t="shared" si="4"/>
        <v>-2.7272727272726893E-3</v>
      </c>
      <c r="Y67" s="10">
        <f t="shared" si="5"/>
        <v>-2.7309985112316283E-3</v>
      </c>
      <c r="AC67" s="5">
        <v>59</v>
      </c>
      <c r="AD67" s="7" t="s">
        <v>92</v>
      </c>
      <c r="AE67" s="8">
        <v>35798007</v>
      </c>
      <c r="AF67" s="9">
        <v>29850</v>
      </c>
      <c r="AG67" s="10">
        <f t="shared" si="6"/>
        <v>-1.6474464579901205E-2</v>
      </c>
      <c r="AH67" s="10">
        <f t="shared" si="7"/>
        <v>-1.6611677666896228E-2</v>
      </c>
      <c r="AL67" s="5">
        <v>59</v>
      </c>
      <c r="AM67" s="7" t="s">
        <v>92</v>
      </c>
      <c r="AN67" s="8">
        <v>58492759</v>
      </c>
      <c r="AO67" s="9">
        <v>123200</v>
      </c>
      <c r="AP67" s="10">
        <f t="shared" si="8"/>
        <v>7.3589533932951756E-3</v>
      </c>
      <c r="AQ67" s="10">
        <f t="shared" si="9"/>
        <v>7.3320084062927313E-3</v>
      </c>
      <c r="AU67" s="5">
        <v>59</v>
      </c>
      <c r="AV67" s="7" t="s">
        <v>92</v>
      </c>
      <c r="AW67" s="8">
        <v>40000000</v>
      </c>
      <c r="AX67" s="9">
        <v>2700</v>
      </c>
      <c r="AY67" s="10">
        <f t="shared" si="10"/>
        <v>-4.0852575488454668E-2</v>
      </c>
      <c r="AZ67" s="10">
        <f t="shared" si="11"/>
        <v>-4.1710488581370275E-2</v>
      </c>
      <c r="BD67" s="5">
        <v>59</v>
      </c>
      <c r="BE67" s="7" t="s">
        <v>92</v>
      </c>
      <c r="BF67" s="8">
        <v>16068000</v>
      </c>
      <c r="BG67" s="9">
        <v>10530</v>
      </c>
      <c r="BH67" s="10">
        <f t="shared" si="12"/>
        <v>-2.5000000000000022E-2</v>
      </c>
      <c r="BI67" s="10">
        <f t="shared" si="13"/>
        <v>-2.5317807984289897E-2</v>
      </c>
    </row>
    <row r="68" spans="2:61" x14ac:dyDescent="0.4">
      <c r="B68" s="5">
        <v>60</v>
      </c>
      <c r="C68" s="7" t="s">
        <v>93</v>
      </c>
      <c r="D68" s="8">
        <v>24054799</v>
      </c>
      <c r="E68" s="9">
        <v>10740</v>
      </c>
      <c r="F68" s="10">
        <f t="shared" si="0"/>
        <v>-2.096627164995446E-2</v>
      </c>
      <c r="G68" s="10">
        <f t="shared" si="1"/>
        <v>-2.118918520642029E-2</v>
      </c>
      <c r="K68" s="5">
        <v>60</v>
      </c>
      <c r="L68" s="7" t="s">
        <v>93</v>
      </c>
      <c r="M68" s="8">
        <v>21929315</v>
      </c>
      <c r="N68" s="9">
        <v>12040</v>
      </c>
      <c r="O68" s="10">
        <f t="shared" si="2"/>
        <v>-1.5535568274734235E-2</v>
      </c>
      <c r="P68" s="10">
        <f t="shared" si="3"/>
        <v>-1.5657509818405982E-2</v>
      </c>
      <c r="T68" s="5">
        <v>60</v>
      </c>
      <c r="U68" s="7" t="s">
        <v>93</v>
      </c>
      <c r="V68" s="8">
        <v>26014161</v>
      </c>
      <c r="W68" s="9">
        <v>11000</v>
      </c>
      <c r="X68" s="10">
        <f t="shared" si="4"/>
        <v>-5.4249547920434127E-3</v>
      </c>
      <c r="Y68" s="10">
        <f t="shared" si="5"/>
        <v>-5.4397232958182098E-3</v>
      </c>
      <c r="AC68" s="5">
        <v>60</v>
      </c>
      <c r="AD68" s="7" t="s">
        <v>93</v>
      </c>
      <c r="AE68" s="8">
        <v>35798007</v>
      </c>
      <c r="AF68" s="9">
        <v>30350</v>
      </c>
      <c r="AG68" s="10">
        <f t="shared" si="6"/>
        <v>-2.4115755627009627E-2</v>
      </c>
      <c r="AH68" s="10">
        <f t="shared" si="7"/>
        <v>-2.4411301679681162E-2</v>
      </c>
      <c r="AL68" s="5">
        <v>60</v>
      </c>
      <c r="AM68" s="7" t="s">
        <v>93</v>
      </c>
      <c r="AN68" s="8">
        <v>58492759</v>
      </c>
      <c r="AO68" s="9">
        <v>122300</v>
      </c>
      <c r="AP68" s="10">
        <f t="shared" si="8"/>
        <v>-2.6273885350318493E-2</v>
      </c>
      <c r="AQ68" s="10">
        <f t="shared" si="9"/>
        <v>-2.6625211340971653E-2</v>
      </c>
      <c r="AU68" s="5">
        <v>60</v>
      </c>
      <c r="AV68" s="7" t="s">
        <v>93</v>
      </c>
      <c r="AW68" s="8">
        <v>40000000</v>
      </c>
      <c r="AX68" s="9">
        <v>2815</v>
      </c>
      <c r="AY68" s="10">
        <f t="shared" si="10"/>
        <v>-5.300353356890497E-3</v>
      </c>
      <c r="AZ68" s="10">
        <f t="shared" si="11"/>
        <v>-5.3144500634925897E-3</v>
      </c>
      <c r="BD68" s="5">
        <v>60</v>
      </c>
      <c r="BE68" s="7" t="s">
        <v>93</v>
      </c>
      <c r="BF68" s="8">
        <v>16068000</v>
      </c>
      <c r="BG68" s="9">
        <v>10800</v>
      </c>
      <c r="BH68" s="10">
        <f t="shared" si="12"/>
        <v>-1.5496809480401108E-2</v>
      </c>
      <c r="BI68" s="10">
        <f t="shared" si="13"/>
        <v>-1.5618140156964883E-2</v>
      </c>
    </row>
    <row r="69" spans="2:61" x14ac:dyDescent="0.4">
      <c r="B69" s="5">
        <v>61</v>
      </c>
      <c r="C69" s="7" t="s">
        <v>94</v>
      </c>
      <c r="D69" s="8">
        <v>24054799</v>
      </c>
      <c r="E69" s="9">
        <v>10970</v>
      </c>
      <c r="F69" s="10">
        <f t="shared" si="0"/>
        <v>6.8159688412853026E-2</v>
      </c>
      <c r="G69" s="10">
        <f t="shared" si="1"/>
        <v>6.5937250346672069E-2</v>
      </c>
      <c r="K69" s="5">
        <v>61</v>
      </c>
      <c r="L69" s="7" t="s">
        <v>94</v>
      </c>
      <c r="M69" s="8">
        <v>21929315</v>
      </c>
      <c r="N69" s="9">
        <v>12230</v>
      </c>
      <c r="O69" s="10">
        <f t="shared" si="2"/>
        <v>2.4590163934425924E-3</v>
      </c>
      <c r="P69" s="10">
        <f t="shared" si="3"/>
        <v>2.4559979598700824E-3</v>
      </c>
      <c r="T69" s="5">
        <v>61</v>
      </c>
      <c r="U69" s="7" t="s">
        <v>94</v>
      </c>
      <c r="V69" s="8">
        <v>26014161</v>
      </c>
      <c r="W69" s="9">
        <v>11060</v>
      </c>
      <c r="X69" s="10">
        <f t="shared" si="4"/>
        <v>1.8115942028984477E-3</v>
      </c>
      <c r="Y69" s="10">
        <f t="shared" si="5"/>
        <v>1.8099552452393861E-3</v>
      </c>
      <c r="AC69" s="5">
        <v>61</v>
      </c>
      <c r="AD69" s="7" t="s">
        <v>94</v>
      </c>
      <c r="AE69" s="8">
        <v>35798007</v>
      </c>
      <c r="AF69" s="9">
        <v>31100</v>
      </c>
      <c r="AG69" s="10">
        <f t="shared" si="6"/>
        <v>1.6103059581320522E-3</v>
      </c>
      <c r="AH69" s="10">
        <f t="shared" si="7"/>
        <v>1.6090108057006858E-3</v>
      </c>
      <c r="AL69" s="5">
        <v>61</v>
      </c>
      <c r="AM69" s="7" t="s">
        <v>94</v>
      </c>
      <c r="AN69" s="8">
        <v>58492759</v>
      </c>
      <c r="AO69" s="9">
        <v>125600</v>
      </c>
      <c r="AP69" s="10">
        <f t="shared" si="8"/>
        <v>2.614379084967311E-2</v>
      </c>
      <c r="AQ69" s="10">
        <f t="shared" si="9"/>
        <v>2.5807883955872503E-2</v>
      </c>
      <c r="AU69" s="5">
        <v>61</v>
      </c>
      <c r="AV69" s="7" t="s">
        <v>94</v>
      </c>
      <c r="AW69" s="8">
        <v>40000000</v>
      </c>
      <c r="AX69" s="9">
        <v>2830</v>
      </c>
      <c r="AY69" s="10">
        <f t="shared" si="10"/>
        <v>3.6630036630036722E-2</v>
      </c>
      <c r="AZ69" s="10">
        <f t="shared" si="11"/>
        <v>3.597510245827798E-2</v>
      </c>
      <c r="BD69" s="5">
        <v>61</v>
      </c>
      <c r="BE69" s="7" t="s">
        <v>94</v>
      </c>
      <c r="BF69" s="8">
        <v>16068000</v>
      </c>
      <c r="BG69" s="9">
        <v>10970</v>
      </c>
      <c r="BH69" s="10">
        <f t="shared" si="12"/>
        <v>-8.1374321880650635E-3</v>
      </c>
      <c r="BI69" s="10">
        <f t="shared" si="13"/>
        <v>-8.1707218070498269E-3</v>
      </c>
    </row>
    <row r="70" spans="2:61" x14ac:dyDescent="0.4">
      <c r="B70" s="5">
        <v>62</v>
      </c>
      <c r="C70" s="7" t="s">
        <v>95</v>
      </c>
      <c r="D70" s="8">
        <v>24054799</v>
      </c>
      <c r="E70" s="9">
        <v>10270</v>
      </c>
      <c r="F70" s="10">
        <f t="shared" si="0"/>
        <v>-3.6585365853658569E-2</v>
      </c>
      <c r="G70" s="10">
        <f t="shared" si="1"/>
        <v>-3.7271394797231655E-2</v>
      </c>
      <c r="K70" s="5">
        <v>62</v>
      </c>
      <c r="L70" s="7" t="s">
        <v>95</v>
      </c>
      <c r="M70" s="8">
        <v>21929315</v>
      </c>
      <c r="N70" s="9">
        <v>12200</v>
      </c>
      <c r="O70" s="10">
        <f t="shared" si="2"/>
        <v>-1.4539579967689842E-2</v>
      </c>
      <c r="P70" s="10">
        <f t="shared" si="3"/>
        <v>-1.4646315517239189E-2</v>
      </c>
      <c r="T70" s="5">
        <v>62</v>
      </c>
      <c r="U70" s="7" t="s">
        <v>95</v>
      </c>
      <c r="V70" s="8">
        <v>26014161</v>
      </c>
      <c r="W70" s="9">
        <v>11040</v>
      </c>
      <c r="X70" s="10">
        <f t="shared" si="4"/>
        <v>-1.866666666666672E-2</v>
      </c>
      <c r="Y70" s="10">
        <f t="shared" si="5"/>
        <v>-1.8843087801479943E-2</v>
      </c>
      <c r="AC70" s="5">
        <v>62</v>
      </c>
      <c r="AD70" s="7" t="s">
        <v>95</v>
      </c>
      <c r="AE70" s="8">
        <v>35798007</v>
      </c>
      <c r="AF70" s="9">
        <v>31050</v>
      </c>
      <c r="AG70" s="10">
        <f t="shared" si="6"/>
        <v>1.3050570962479524E-2</v>
      </c>
      <c r="AH70" s="10">
        <f t="shared" si="7"/>
        <v>1.2966145997267283E-2</v>
      </c>
      <c r="AL70" s="5">
        <v>62</v>
      </c>
      <c r="AM70" s="7" t="s">
        <v>95</v>
      </c>
      <c r="AN70" s="8">
        <v>58492759</v>
      </c>
      <c r="AO70" s="9">
        <v>122400</v>
      </c>
      <c r="AP70" s="10">
        <f t="shared" si="8"/>
        <v>-2.4701195219123506E-2</v>
      </c>
      <c r="AQ70" s="10">
        <f t="shared" si="9"/>
        <v>-2.5011388493612868E-2</v>
      </c>
      <c r="AU70" s="5">
        <v>62</v>
      </c>
      <c r="AV70" s="7" t="s">
        <v>95</v>
      </c>
      <c r="AW70" s="8">
        <v>40000000</v>
      </c>
      <c r="AX70" s="9">
        <v>2730</v>
      </c>
      <c r="AY70" s="10">
        <f t="shared" si="10"/>
        <v>-1.7985611510791366E-2</v>
      </c>
      <c r="AZ70" s="10">
        <f t="shared" si="11"/>
        <v>-1.8149318505677334E-2</v>
      </c>
      <c r="BD70" s="5">
        <v>62</v>
      </c>
      <c r="BE70" s="7" t="s">
        <v>95</v>
      </c>
      <c r="BF70" s="8">
        <v>16068000</v>
      </c>
      <c r="BG70" s="9">
        <v>11060</v>
      </c>
      <c r="BH70" s="10">
        <f t="shared" si="12"/>
        <v>9.124087591240837E-3</v>
      </c>
      <c r="BI70" s="10">
        <f t="shared" si="13"/>
        <v>9.0827145743192263E-3</v>
      </c>
    </row>
    <row r="71" spans="2:61" x14ac:dyDescent="0.4">
      <c r="B71" s="5">
        <v>63</v>
      </c>
      <c r="C71" s="7" t="s">
        <v>96</v>
      </c>
      <c r="D71" s="8">
        <v>24054799</v>
      </c>
      <c r="E71" s="9">
        <v>10660</v>
      </c>
      <c r="F71" s="10">
        <f t="shared" si="0"/>
        <v>1.4272121788772685E-2</v>
      </c>
      <c r="G71" s="10">
        <f t="shared" si="1"/>
        <v>1.417123384883881E-2</v>
      </c>
      <c r="K71" s="5">
        <v>63</v>
      </c>
      <c r="L71" s="7" t="s">
        <v>96</v>
      </c>
      <c r="M71" s="8">
        <v>21929315</v>
      </c>
      <c r="N71" s="9">
        <v>12380</v>
      </c>
      <c r="O71" s="10">
        <f t="shared" si="2"/>
        <v>-1.3545816733067761E-2</v>
      </c>
      <c r="P71" s="10">
        <f t="shared" si="3"/>
        <v>-1.3638398321342882E-2</v>
      </c>
      <c r="T71" s="5">
        <v>63</v>
      </c>
      <c r="U71" s="7" t="s">
        <v>96</v>
      </c>
      <c r="V71" s="8">
        <v>26014161</v>
      </c>
      <c r="W71" s="9">
        <v>11250</v>
      </c>
      <c r="X71" s="10">
        <f t="shared" si="4"/>
        <v>6.2611806797854275E-3</v>
      </c>
      <c r="Y71" s="10">
        <f t="shared" si="5"/>
        <v>6.2416609234761337E-3</v>
      </c>
      <c r="AC71" s="5">
        <v>63</v>
      </c>
      <c r="AD71" s="7" t="s">
        <v>96</v>
      </c>
      <c r="AE71" s="8">
        <v>35798007</v>
      </c>
      <c r="AF71" s="9">
        <v>30650</v>
      </c>
      <c r="AG71" s="10">
        <f t="shared" si="6"/>
        <v>1.9966722129783676E-2</v>
      </c>
      <c r="AH71" s="10">
        <f t="shared" si="7"/>
        <v>1.9770001401003802E-2</v>
      </c>
      <c r="AL71" s="5">
        <v>63</v>
      </c>
      <c r="AM71" s="7" t="s">
        <v>96</v>
      </c>
      <c r="AN71" s="8">
        <v>58492759</v>
      </c>
      <c r="AO71" s="9">
        <v>125500</v>
      </c>
      <c r="AP71" s="10">
        <f t="shared" si="8"/>
        <v>7.9744816586924117E-4</v>
      </c>
      <c r="AQ71" s="10">
        <f t="shared" si="9"/>
        <v>7.9713037301827854E-4</v>
      </c>
      <c r="AU71" s="5">
        <v>63</v>
      </c>
      <c r="AV71" s="7" t="s">
        <v>96</v>
      </c>
      <c r="AW71" s="8">
        <v>40000000</v>
      </c>
      <c r="AX71" s="9">
        <v>2780</v>
      </c>
      <c r="AY71" s="10">
        <f t="shared" si="10"/>
        <v>-1.243339253996445E-2</v>
      </c>
      <c r="AZ71" s="10">
        <f t="shared" si="11"/>
        <v>-1.2511333889107979E-2</v>
      </c>
      <c r="BD71" s="5">
        <v>63</v>
      </c>
      <c r="BE71" s="7" t="s">
        <v>96</v>
      </c>
      <c r="BF71" s="8">
        <v>16068000</v>
      </c>
      <c r="BG71" s="9">
        <v>10960</v>
      </c>
      <c r="BH71" s="10">
        <f t="shared" si="12"/>
        <v>3.66300366300365E-3</v>
      </c>
      <c r="BI71" s="10">
        <f t="shared" si="13"/>
        <v>3.6563112031104792E-3</v>
      </c>
    </row>
    <row r="72" spans="2:61" x14ac:dyDescent="0.4">
      <c r="B72" s="5">
        <v>64</v>
      </c>
      <c r="C72" s="7" t="s">
        <v>97</v>
      </c>
      <c r="D72" s="8">
        <v>24054799</v>
      </c>
      <c r="E72" s="9">
        <v>10510</v>
      </c>
      <c r="F72" s="10">
        <f t="shared" si="0"/>
        <v>-1.2218045112781906E-2</v>
      </c>
      <c r="G72" s="10">
        <f t="shared" si="1"/>
        <v>-1.2293299024638518E-2</v>
      </c>
      <c r="K72" s="5">
        <v>64</v>
      </c>
      <c r="L72" s="7" t="s">
        <v>97</v>
      </c>
      <c r="M72" s="8">
        <v>21929315</v>
      </c>
      <c r="N72" s="9">
        <v>12550</v>
      </c>
      <c r="O72" s="10">
        <f t="shared" si="2"/>
        <v>-3.9682539682539542E-3</v>
      </c>
      <c r="P72" s="10">
        <f t="shared" si="3"/>
        <v>-3.9761483796394064E-3</v>
      </c>
      <c r="T72" s="5">
        <v>64</v>
      </c>
      <c r="U72" s="7" t="s">
        <v>97</v>
      </c>
      <c r="V72" s="8">
        <v>26014161</v>
      </c>
      <c r="W72" s="9">
        <v>11180</v>
      </c>
      <c r="X72" s="10">
        <f t="shared" si="4"/>
        <v>-1.3239187996469504E-2</v>
      </c>
      <c r="Y72" s="10">
        <f t="shared" si="5"/>
        <v>-1.3327607312961799E-2</v>
      </c>
      <c r="AC72" s="5">
        <v>64</v>
      </c>
      <c r="AD72" s="7" t="s">
        <v>97</v>
      </c>
      <c r="AE72" s="8">
        <v>35798007</v>
      </c>
      <c r="AF72" s="9">
        <v>30050</v>
      </c>
      <c r="AG72" s="10">
        <f t="shared" si="6"/>
        <v>3.3388981636059967E-3</v>
      </c>
      <c r="AH72" s="10">
        <f t="shared" si="7"/>
        <v>3.333336419758217E-3</v>
      </c>
      <c r="AL72" s="5">
        <v>64</v>
      </c>
      <c r="AM72" s="7" t="s">
        <v>97</v>
      </c>
      <c r="AN72" s="8">
        <v>58492759</v>
      </c>
      <c r="AO72" s="9">
        <v>125400</v>
      </c>
      <c r="AP72" s="10">
        <f t="shared" si="8"/>
        <v>1.620745542949753E-2</v>
      </c>
      <c r="AQ72" s="10">
        <f t="shared" si="9"/>
        <v>1.6077516727532843E-2</v>
      </c>
      <c r="AU72" s="5">
        <v>64</v>
      </c>
      <c r="AV72" s="7" t="s">
        <v>97</v>
      </c>
      <c r="AW72" s="8">
        <v>40000000</v>
      </c>
      <c r="AX72" s="9">
        <v>2815</v>
      </c>
      <c r="AY72" s="10">
        <f t="shared" si="10"/>
        <v>0</v>
      </c>
      <c r="AZ72" s="10">
        <f t="shared" si="11"/>
        <v>0</v>
      </c>
      <c r="BD72" s="5">
        <v>64</v>
      </c>
      <c r="BE72" s="7" t="s">
        <v>97</v>
      </c>
      <c r="BF72" s="8">
        <v>16068000</v>
      </c>
      <c r="BG72" s="9">
        <v>10920</v>
      </c>
      <c r="BH72" s="10">
        <f t="shared" si="12"/>
        <v>3.3112582781456901E-2</v>
      </c>
      <c r="BI72" s="10">
        <f t="shared" si="13"/>
        <v>3.2576170434612667E-2</v>
      </c>
    </row>
    <row r="73" spans="2:61" x14ac:dyDescent="0.4">
      <c r="B73" s="5">
        <v>65</v>
      </c>
      <c r="C73" s="7" t="s">
        <v>98</v>
      </c>
      <c r="D73" s="8">
        <v>24054799</v>
      </c>
      <c r="E73" s="9">
        <v>10640</v>
      </c>
      <c r="F73" s="10">
        <f t="shared" ref="F73:F136" si="14">(E73/E74)-1</f>
        <v>-3.2727272727272716E-2</v>
      </c>
      <c r="G73" s="10">
        <f t="shared" ref="G73:G136" si="15">LN(E73/E74)</f>
        <v>-3.327478888487221E-2</v>
      </c>
      <c r="K73" s="5">
        <v>65</v>
      </c>
      <c r="L73" s="7" t="s">
        <v>98</v>
      </c>
      <c r="M73" s="8">
        <v>21929315</v>
      </c>
      <c r="N73" s="9">
        <v>12600</v>
      </c>
      <c r="O73" s="10">
        <f t="shared" ref="O73:O136" si="16">(N73/N74)-1</f>
        <v>-7.8740157480314821E-3</v>
      </c>
      <c r="P73" s="10">
        <f t="shared" ref="P73:P136" si="17">LN(N73/N74)</f>
        <v>-7.9051795071132611E-3</v>
      </c>
      <c r="T73" s="5">
        <v>65</v>
      </c>
      <c r="U73" s="7" t="s">
        <v>98</v>
      </c>
      <c r="V73" s="8">
        <v>26014161</v>
      </c>
      <c r="W73" s="9">
        <v>11330</v>
      </c>
      <c r="X73" s="10">
        <f t="shared" ref="X73:X136" si="18">(W73/W74)-1</f>
        <v>1.7683465959328348E-3</v>
      </c>
      <c r="Y73" s="10">
        <f t="shared" ref="Y73:Y136" si="19">LN(W73/W74)</f>
        <v>1.7667849118858921E-3</v>
      </c>
      <c r="AC73" s="5">
        <v>65</v>
      </c>
      <c r="AD73" s="7" t="s">
        <v>98</v>
      </c>
      <c r="AE73" s="8">
        <v>35798007</v>
      </c>
      <c r="AF73" s="9">
        <v>29950</v>
      </c>
      <c r="AG73" s="10">
        <f t="shared" ref="AG73:AG136" si="20">(AF73/AF74)-1</f>
        <v>-1.3179571663920919E-2</v>
      </c>
      <c r="AH73" s="10">
        <f t="shared" ref="AH73:AH136" si="21">LN(AF73/AF74)</f>
        <v>-1.3267192944048911E-2</v>
      </c>
      <c r="AL73" s="5">
        <v>65</v>
      </c>
      <c r="AM73" s="7" t="s">
        <v>98</v>
      </c>
      <c r="AN73" s="8">
        <v>58492759</v>
      </c>
      <c r="AO73" s="9">
        <v>123400</v>
      </c>
      <c r="AP73" s="10">
        <f t="shared" ref="AP73:AP136" si="22">(AO73/AO74)-1</f>
        <v>-6.441223832528209E-3</v>
      </c>
      <c r="AQ73" s="10">
        <f t="shared" ref="AQ73:AQ136" si="23">LN(AO73/AO74)</f>
        <v>-6.4620580280909798E-3</v>
      </c>
      <c r="AU73" s="5">
        <v>65</v>
      </c>
      <c r="AV73" s="7" t="s">
        <v>98</v>
      </c>
      <c r="AW73" s="8">
        <v>40000000</v>
      </c>
      <c r="AX73" s="9">
        <v>2815</v>
      </c>
      <c r="AY73" s="10">
        <f t="shared" ref="AY73:AY136" si="24">(AX73/AX74)-1</f>
        <v>-1.9163763066202044E-2</v>
      </c>
      <c r="AZ73" s="10">
        <f t="shared" ref="AZ73:AZ136" si="25">LN(AX73/AX74)</f>
        <v>-1.9349768179875989E-2</v>
      </c>
      <c r="BD73" s="5">
        <v>65</v>
      </c>
      <c r="BE73" s="7" t="s">
        <v>98</v>
      </c>
      <c r="BF73" s="8">
        <v>16068000</v>
      </c>
      <c r="BG73" s="9">
        <v>10570</v>
      </c>
      <c r="BH73" s="10">
        <f t="shared" ref="BH73:BH136" si="26">(BG73/BG74)-1</f>
        <v>-3.9963669391462342E-2</v>
      </c>
      <c r="BI73" s="10">
        <f t="shared" ref="BI73:BI136" si="27">LN(BG73/BG74)</f>
        <v>-4.0784150852442365E-2</v>
      </c>
    </row>
    <row r="74" spans="2:61" x14ac:dyDescent="0.4">
      <c r="B74" s="5">
        <v>66</v>
      </c>
      <c r="C74" s="7" t="s">
        <v>99</v>
      </c>
      <c r="D74" s="8">
        <v>24054799</v>
      </c>
      <c r="E74" s="9">
        <v>11000</v>
      </c>
      <c r="F74" s="10">
        <f t="shared" si="14"/>
        <v>3.969754253308122E-2</v>
      </c>
      <c r="G74" s="10">
        <f t="shared" si="15"/>
        <v>3.8929846368217155E-2</v>
      </c>
      <c r="K74" s="5">
        <v>66</v>
      </c>
      <c r="L74" s="7" t="s">
        <v>99</v>
      </c>
      <c r="M74" s="8">
        <v>21929315</v>
      </c>
      <c r="N74" s="9">
        <v>12700</v>
      </c>
      <c r="O74" s="10">
        <f t="shared" si="16"/>
        <v>1.195219123505975E-2</v>
      </c>
      <c r="P74" s="10">
        <f t="shared" si="17"/>
        <v>1.1881327886752686E-2</v>
      </c>
      <c r="T74" s="5">
        <v>66</v>
      </c>
      <c r="U74" s="7" t="s">
        <v>99</v>
      </c>
      <c r="V74" s="8">
        <v>26014161</v>
      </c>
      <c r="W74" s="9">
        <v>11310</v>
      </c>
      <c r="X74" s="10">
        <f t="shared" si="18"/>
        <v>-1.308900523560208E-2</v>
      </c>
      <c r="Y74" s="10">
        <f t="shared" si="19"/>
        <v>-1.3175421158564404E-2</v>
      </c>
      <c r="AC74" s="5">
        <v>66</v>
      </c>
      <c r="AD74" s="7" t="s">
        <v>99</v>
      </c>
      <c r="AE74" s="8">
        <v>35798007</v>
      </c>
      <c r="AF74" s="9">
        <v>30350</v>
      </c>
      <c r="AG74" s="10">
        <f t="shared" si="20"/>
        <v>6.6334991708125735E-3</v>
      </c>
      <c r="AH74" s="10">
        <f t="shared" si="21"/>
        <v>6.6115943323127894E-3</v>
      </c>
      <c r="AL74" s="5">
        <v>66</v>
      </c>
      <c r="AM74" s="7" t="s">
        <v>99</v>
      </c>
      <c r="AN74" s="8">
        <v>58492759</v>
      </c>
      <c r="AO74" s="9">
        <v>124200</v>
      </c>
      <c r="AP74" s="10">
        <f t="shared" si="22"/>
        <v>-1.1146496815286677E-2</v>
      </c>
      <c r="AQ74" s="10">
        <f t="shared" si="23"/>
        <v>-1.1209084534719966E-2</v>
      </c>
      <c r="AU74" s="5">
        <v>66</v>
      </c>
      <c r="AV74" s="7" t="s">
        <v>99</v>
      </c>
      <c r="AW74" s="8">
        <v>40000000</v>
      </c>
      <c r="AX74" s="9">
        <v>2870</v>
      </c>
      <c r="AY74" s="10">
        <f t="shared" si="24"/>
        <v>3.4965034965035446E-3</v>
      </c>
      <c r="AZ74" s="10">
        <f t="shared" si="25"/>
        <v>3.4904049397685676E-3</v>
      </c>
      <c r="BD74" s="5">
        <v>66</v>
      </c>
      <c r="BE74" s="7" t="s">
        <v>99</v>
      </c>
      <c r="BF74" s="8">
        <v>16068000</v>
      </c>
      <c r="BG74" s="9">
        <v>11010</v>
      </c>
      <c r="BH74" s="10">
        <f t="shared" si="26"/>
        <v>-3.6199095022624306E-3</v>
      </c>
      <c r="BI74" s="10">
        <f t="shared" si="27"/>
        <v>-3.626477229173215E-3</v>
      </c>
    </row>
    <row r="75" spans="2:61" x14ac:dyDescent="0.4">
      <c r="B75" s="5">
        <v>67</v>
      </c>
      <c r="C75" s="7" t="s">
        <v>100</v>
      </c>
      <c r="D75" s="8">
        <v>24054799</v>
      </c>
      <c r="E75" s="9">
        <v>10580</v>
      </c>
      <c r="F75" s="10">
        <f t="shared" si="14"/>
        <v>-1.4897579143389184E-2</v>
      </c>
      <c r="G75" s="10">
        <f t="shared" si="15"/>
        <v>-1.5009662650565289E-2</v>
      </c>
      <c r="K75" s="5">
        <v>67</v>
      </c>
      <c r="L75" s="7" t="s">
        <v>100</v>
      </c>
      <c r="M75" s="8">
        <v>21929315</v>
      </c>
      <c r="N75" s="9">
        <v>12550</v>
      </c>
      <c r="O75" s="10">
        <f t="shared" si="16"/>
        <v>-7.120253164557E-3</v>
      </c>
      <c r="P75" s="10">
        <f t="shared" si="17"/>
        <v>-7.1457231409185092E-3</v>
      </c>
      <c r="T75" s="5">
        <v>67</v>
      </c>
      <c r="U75" s="7" t="s">
        <v>100</v>
      </c>
      <c r="V75" s="8">
        <v>26014161</v>
      </c>
      <c r="W75" s="9">
        <v>11460</v>
      </c>
      <c r="X75" s="10">
        <f t="shared" si="18"/>
        <v>-2.3850085178875657E-2</v>
      </c>
      <c r="Y75" s="10">
        <f t="shared" si="19"/>
        <v>-2.4139103113356902E-2</v>
      </c>
      <c r="AC75" s="5">
        <v>67</v>
      </c>
      <c r="AD75" s="7" t="s">
        <v>100</v>
      </c>
      <c r="AE75" s="8">
        <v>35798007</v>
      </c>
      <c r="AF75" s="9">
        <v>30150</v>
      </c>
      <c r="AG75" s="10">
        <f t="shared" si="20"/>
        <v>1.1744966442952975E-2</v>
      </c>
      <c r="AH75" s="10">
        <f t="shared" si="21"/>
        <v>1.1676529661835638E-2</v>
      </c>
      <c r="AL75" s="5">
        <v>67</v>
      </c>
      <c r="AM75" s="7" t="s">
        <v>100</v>
      </c>
      <c r="AN75" s="8">
        <v>58492759</v>
      </c>
      <c r="AO75" s="9">
        <v>125600</v>
      </c>
      <c r="AP75" s="10">
        <f t="shared" si="22"/>
        <v>-2.3828435266084469E-3</v>
      </c>
      <c r="AQ75" s="10">
        <f t="shared" si="23"/>
        <v>-2.3856870162032085E-3</v>
      </c>
      <c r="AU75" s="5">
        <v>67</v>
      </c>
      <c r="AV75" s="7" t="s">
        <v>100</v>
      </c>
      <c r="AW75" s="8">
        <v>40000000</v>
      </c>
      <c r="AX75" s="9">
        <v>2860</v>
      </c>
      <c r="AY75" s="10">
        <f t="shared" si="24"/>
        <v>-3.4843205574912606E-3</v>
      </c>
      <c r="AZ75" s="10">
        <f t="shared" si="25"/>
        <v>-3.4904049397684908E-3</v>
      </c>
      <c r="BD75" s="5">
        <v>67</v>
      </c>
      <c r="BE75" s="7" t="s">
        <v>100</v>
      </c>
      <c r="BF75" s="8">
        <v>16068000</v>
      </c>
      <c r="BG75" s="9">
        <v>11050</v>
      </c>
      <c r="BH75" s="10">
        <f t="shared" si="26"/>
        <v>2.5998142989786421E-2</v>
      </c>
      <c r="BI75" s="10">
        <f t="shared" si="27"/>
        <v>2.5665936795464604E-2</v>
      </c>
    </row>
    <row r="76" spans="2:61" x14ac:dyDescent="0.4">
      <c r="B76" s="5">
        <v>68</v>
      </c>
      <c r="C76" s="7" t="s">
        <v>101</v>
      </c>
      <c r="D76" s="8">
        <v>24054799</v>
      </c>
      <c r="E76" s="9">
        <v>10740</v>
      </c>
      <c r="F76" s="10">
        <f t="shared" si="14"/>
        <v>1.9943019943019946E-2</v>
      </c>
      <c r="G76" s="10">
        <f t="shared" si="15"/>
        <v>1.9746762934834499E-2</v>
      </c>
      <c r="K76" s="5">
        <v>68</v>
      </c>
      <c r="L76" s="7" t="s">
        <v>101</v>
      </c>
      <c r="M76" s="8">
        <v>21929315</v>
      </c>
      <c r="N76" s="9">
        <v>12640</v>
      </c>
      <c r="O76" s="10">
        <f t="shared" si="16"/>
        <v>8.7789305666401418E-3</v>
      </c>
      <c r="P76" s="10">
        <f t="shared" si="17"/>
        <v>8.7406198107345071E-3</v>
      </c>
      <c r="T76" s="5">
        <v>68</v>
      </c>
      <c r="U76" s="7" t="s">
        <v>101</v>
      </c>
      <c r="V76" s="8">
        <v>26014161</v>
      </c>
      <c r="W76" s="9">
        <v>11740</v>
      </c>
      <c r="X76" s="10">
        <f t="shared" si="18"/>
        <v>-1.0951979780960408E-2</v>
      </c>
      <c r="Y76" s="10">
        <f t="shared" si="19"/>
        <v>-1.1012394221626283E-2</v>
      </c>
      <c r="AC76" s="5">
        <v>68</v>
      </c>
      <c r="AD76" s="7" t="s">
        <v>101</v>
      </c>
      <c r="AE76" s="8">
        <v>35798007</v>
      </c>
      <c r="AF76" s="9">
        <v>29800</v>
      </c>
      <c r="AG76" s="10">
        <f t="shared" si="20"/>
        <v>0</v>
      </c>
      <c r="AH76" s="10">
        <f t="shared" si="21"/>
        <v>0</v>
      </c>
      <c r="AL76" s="5">
        <v>68</v>
      </c>
      <c r="AM76" s="7" t="s">
        <v>101</v>
      </c>
      <c r="AN76" s="8">
        <v>58492759</v>
      </c>
      <c r="AO76" s="9">
        <v>125900</v>
      </c>
      <c r="AP76" s="10">
        <f t="shared" si="22"/>
        <v>1.696284329563813E-2</v>
      </c>
      <c r="AQ76" s="10">
        <f t="shared" si="23"/>
        <v>1.6820580799805758E-2</v>
      </c>
      <c r="AU76" s="5">
        <v>68</v>
      </c>
      <c r="AV76" s="7" t="s">
        <v>101</v>
      </c>
      <c r="AW76" s="8">
        <v>40000000</v>
      </c>
      <c r="AX76" s="9">
        <v>2870</v>
      </c>
      <c r="AY76" s="10">
        <f t="shared" si="24"/>
        <v>2.1352313167259718E-2</v>
      </c>
      <c r="AZ76" s="10">
        <f t="shared" si="25"/>
        <v>2.1127546425875277E-2</v>
      </c>
      <c r="BD76" s="5">
        <v>68</v>
      </c>
      <c r="BE76" s="7" t="s">
        <v>101</v>
      </c>
      <c r="BF76" s="8">
        <v>16068000</v>
      </c>
      <c r="BG76" s="9">
        <v>10770</v>
      </c>
      <c r="BH76" s="10">
        <f t="shared" si="26"/>
        <v>6.1083743842364591E-2</v>
      </c>
      <c r="BI76" s="10">
        <f t="shared" si="27"/>
        <v>5.9290785680500911E-2</v>
      </c>
    </row>
    <row r="77" spans="2:61" x14ac:dyDescent="0.4">
      <c r="B77" s="5">
        <v>69</v>
      </c>
      <c r="C77" s="7" t="s">
        <v>102</v>
      </c>
      <c r="D77" s="8">
        <v>24054799</v>
      </c>
      <c r="E77" s="9">
        <v>10530</v>
      </c>
      <c r="F77" s="10">
        <f t="shared" si="14"/>
        <v>1.9029495718363432E-3</v>
      </c>
      <c r="G77" s="10">
        <f t="shared" si="15"/>
        <v>1.9011412570243728E-3</v>
      </c>
      <c r="K77" s="5">
        <v>69</v>
      </c>
      <c r="L77" s="7" t="s">
        <v>102</v>
      </c>
      <c r="M77" s="8">
        <v>21929315</v>
      </c>
      <c r="N77" s="9">
        <v>12530</v>
      </c>
      <c r="O77" s="10">
        <f t="shared" si="16"/>
        <v>4.0064102564103532E-3</v>
      </c>
      <c r="P77" s="10">
        <f t="shared" si="17"/>
        <v>3.9984059666954234E-3</v>
      </c>
      <c r="T77" s="5">
        <v>69</v>
      </c>
      <c r="U77" s="7" t="s">
        <v>102</v>
      </c>
      <c r="V77" s="8">
        <v>26014161</v>
      </c>
      <c r="W77" s="9">
        <v>11870</v>
      </c>
      <c r="X77" s="10">
        <f t="shared" si="18"/>
        <v>-1.3300083125519557E-2</v>
      </c>
      <c r="Y77" s="10">
        <f t="shared" si="19"/>
        <v>-1.3389321365010863E-2</v>
      </c>
      <c r="AC77" s="5">
        <v>69</v>
      </c>
      <c r="AD77" s="7" t="s">
        <v>102</v>
      </c>
      <c r="AE77" s="8">
        <v>35798007</v>
      </c>
      <c r="AF77" s="9">
        <v>29800</v>
      </c>
      <c r="AG77" s="10">
        <f t="shared" si="20"/>
        <v>-1.1608623548922004E-2</v>
      </c>
      <c r="AH77" s="10">
        <f t="shared" si="21"/>
        <v>-1.1676529661835629E-2</v>
      </c>
      <c r="AL77" s="5">
        <v>69</v>
      </c>
      <c r="AM77" s="7" t="s">
        <v>102</v>
      </c>
      <c r="AN77" s="8">
        <v>58492759</v>
      </c>
      <c r="AO77" s="9">
        <v>123800</v>
      </c>
      <c r="AP77" s="10">
        <f t="shared" si="22"/>
        <v>2.06100577081616E-2</v>
      </c>
      <c r="AQ77" s="10">
        <f t="shared" si="23"/>
        <v>2.0400544300491298E-2</v>
      </c>
      <c r="AU77" s="5">
        <v>69</v>
      </c>
      <c r="AV77" s="7" t="s">
        <v>102</v>
      </c>
      <c r="AW77" s="8">
        <v>40000000</v>
      </c>
      <c r="AX77" s="9">
        <v>2810</v>
      </c>
      <c r="AY77" s="10">
        <f t="shared" si="24"/>
        <v>1.4440433212996373E-2</v>
      </c>
      <c r="AZ77" s="10">
        <f t="shared" si="25"/>
        <v>1.4337163146407249E-2</v>
      </c>
      <c r="BD77" s="5">
        <v>69</v>
      </c>
      <c r="BE77" s="7" t="s">
        <v>102</v>
      </c>
      <c r="BF77" s="8">
        <v>16068000</v>
      </c>
      <c r="BG77" s="9">
        <v>10150</v>
      </c>
      <c r="BH77" s="10">
        <f t="shared" si="26"/>
        <v>2.5252525252525304E-2</v>
      </c>
      <c r="BI77" s="10">
        <f t="shared" si="27"/>
        <v>2.4938948347252146E-2</v>
      </c>
    </row>
    <row r="78" spans="2:61" x14ac:dyDescent="0.4">
      <c r="B78" s="5">
        <v>70</v>
      </c>
      <c r="C78" s="7" t="s">
        <v>103</v>
      </c>
      <c r="D78" s="8">
        <v>24054799</v>
      </c>
      <c r="E78" s="9">
        <v>10510</v>
      </c>
      <c r="F78" s="10">
        <f t="shared" si="14"/>
        <v>-2.0503261882572232E-2</v>
      </c>
      <c r="G78" s="10">
        <f t="shared" si="15"/>
        <v>-2.071637175374735E-2</v>
      </c>
      <c r="K78" s="5">
        <v>70</v>
      </c>
      <c r="L78" s="7" t="s">
        <v>103</v>
      </c>
      <c r="M78" s="8">
        <v>21929315</v>
      </c>
      <c r="N78" s="9">
        <v>12480</v>
      </c>
      <c r="O78" s="10">
        <f t="shared" si="16"/>
        <v>-1.1876484560570111E-2</v>
      </c>
      <c r="P78" s="10">
        <f t="shared" si="17"/>
        <v>-1.1947573421118175E-2</v>
      </c>
      <c r="T78" s="5">
        <v>70</v>
      </c>
      <c r="U78" s="7" t="s">
        <v>103</v>
      </c>
      <c r="V78" s="8">
        <v>26014161</v>
      </c>
      <c r="W78" s="9">
        <v>12030</v>
      </c>
      <c r="X78" s="10">
        <f t="shared" si="18"/>
        <v>-1.554828150572829E-2</v>
      </c>
      <c r="Y78" s="10">
        <f t="shared" si="19"/>
        <v>-1.5670423756861729E-2</v>
      </c>
      <c r="AC78" s="5">
        <v>70</v>
      </c>
      <c r="AD78" s="7" t="s">
        <v>103</v>
      </c>
      <c r="AE78" s="8">
        <v>35798007</v>
      </c>
      <c r="AF78" s="9">
        <v>30150</v>
      </c>
      <c r="AG78" s="10">
        <f t="shared" si="20"/>
        <v>0</v>
      </c>
      <c r="AH78" s="10">
        <f t="shared" si="21"/>
        <v>0</v>
      </c>
      <c r="AL78" s="5">
        <v>70</v>
      </c>
      <c r="AM78" s="7" t="s">
        <v>103</v>
      </c>
      <c r="AN78" s="8">
        <v>58492759</v>
      </c>
      <c r="AO78" s="9">
        <v>121300</v>
      </c>
      <c r="AP78" s="10">
        <f t="shared" si="22"/>
        <v>-9.7959183673469452E-3</v>
      </c>
      <c r="AQ78" s="10">
        <f t="shared" si="23"/>
        <v>-9.8442140347772353E-3</v>
      </c>
      <c r="AU78" s="5">
        <v>70</v>
      </c>
      <c r="AV78" s="7" t="s">
        <v>103</v>
      </c>
      <c r="AW78" s="8">
        <v>40000000</v>
      </c>
      <c r="AX78" s="9">
        <v>2770</v>
      </c>
      <c r="AY78" s="10">
        <f t="shared" si="24"/>
        <v>-8.9445438282647061E-3</v>
      </c>
      <c r="AZ78" s="10">
        <f t="shared" si="25"/>
        <v>-8.984786407815297E-3</v>
      </c>
      <c r="BD78" s="5">
        <v>70</v>
      </c>
      <c r="BE78" s="7" t="s">
        <v>103</v>
      </c>
      <c r="BF78" s="8">
        <v>16068000</v>
      </c>
      <c r="BG78" s="9">
        <v>9900</v>
      </c>
      <c r="BH78" s="10">
        <f t="shared" si="26"/>
        <v>-8.0160320641282645E-3</v>
      </c>
      <c r="BI78" s="10">
        <f t="shared" si="27"/>
        <v>-8.0483331828283718E-3</v>
      </c>
    </row>
    <row r="79" spans="2:61" x14ac:dyDescent="0.4">
      <c r="B79" s="5">
        <v>71</v>
      </c>
      <c r="C79" s="7" t="s">
        <v>104</v>
      </c>
      <c r="D79" s="8">
        <v>24054799</v>
      </c>
      <c r="E79" s="9">
        <v>10730</v>
      </c>
      <c r="F79" s="10">
        <f t="shared" si="14"/>
        <v>-4.638218923933235E-3</v>
      </c>
      <c r="G79" s="10">
        <f t="shared" si="15"/>
        <v>-4.6490088382440172E-3</v>
      </c>
      <c r="K79" s="5">
        <v>71</v>
      </c>
      <c r="L79" s="7" t="s">
        <v>104</v>
      </c>
      <c r="M79" s="8">
        <v>21929315</v>
      </c>
      <c r="N79" s="9">
        <v>12630</v>
      </c>
      <c r="O79" s="10">
        <f t="shared" si="16"/>
        <v>2.3809523809523725E-3</v>
      </c>
      <c r="P79" s="10">
        <f t="shared" si="17"/>
        <v>2.3781224049674193E-3</v>
      </c>
      <c r="T79" s="5">
        <v>71</v>
      </c>
      <c r="U79" s="7" t="s">
        <v>104</v>
      </c>
      <c r="V79" s="8">
        <v>26014161</v>
      </c>
      <c r="W79" s="9">
        <v>12220</v>
      </c>
      <c r="X79" s="10">
        <f t="shared" si="18"/>
        <v>-6.0000000000000053E-2</v>
      </c>
      <c r="Y79" s="10">
        <f t="shared" si="19"/>
        <v>-6.1875403718087529E-2</v>
      </c>
      <c r="AC79" s="5">
        <v>71</v>
      </c>
      <c r="AD79" s="7" t="s">
        <v>104</v>
      </c>
      <c r="AE79" s="8">
        <v>35798007</v>
      </c>
      <c r="AF79" s="9">
        <v>30150</v>
      </c>
      <c r="AG79" s="10">
        <f t="shared" si="20"/>
        <v>-8.2236842105263275E-3</v>
      </c>
      <c r="AH79" s="10">
        <f t="shared" si="21"/>
        <v>-8.2576852389815766E-3</v>
      </c>
      <c r="AL79" s="5">
        <v>71</v>
      </c>
      <c r="AM79" s="7" t="s">
        <v>104</v>
      </c>
      <c r="AN79" s="8">
        <v>58492759</v>
      </c>
      <c r="AO79" s="9">
        <v>122500</v>
      </c>
      <c r="AP79" s="10">
        <f t="shared" si="22"/>
        <v>3.2760032760033031E-3</v>
      </c>
      <c r="AQ79" s="10">
        <f t="shared" si="23"/>
        <v>3.2706488681227067E-3</v>
      </c>
      <c r="AU79" s="5">
        <v>71</v>
      </c>
      <c r="AV79" s="7" t="s">
        <v>104</v>
      </c>
      <c r="AW79" s="8">
        <v>40000000</v>
      </c>
      <c r="AX79" s="9">
        <v>2795</v>
      </c>
      <c r="AY79" s="10">
        <f t="shared" si="24"/>
        <v>-5.3380782918149849E-3</v>
      </c>
      <c r="AZ79" s="10">
        <f t="shared" si="25"/>
        <v>-5.3523767385919539E-3</v>
      </c>
      <c r="BD79" s="5">
        <v>71</v>
      </c>
      <c r="BE79" s="7" t="s">
        <v>104</v>
      </c>
      <c r="BF79" s="8">
        <v>16068000</v>
      </c>
      <c r="BG79" s="9">
        <v>9980</v>
      </c>
      <c r="BH79" s="10">
        <f t="shared" si="26"/>
        <v>-1.4807502467917066E-2</v>
      </c>
      <c r="BI79" s="10">
        <f t="shared" si="27"/>
        <v>-1.4918227937219393E-2</v>
      </c>
    </row>
    <row r="80" spans="2:61" x14ac:dyDescent="0.4">
      <c r="B80" s="5">
        <v>72</v>
      </c>
      <c r="C80" s="7" t="s">
        <v>105</v>
      </c>
      <c r="D80" s="8">
        <v>24054799</v>
      </c>
      <c r="E80" s="9">
        <v>10780</v>
      </c>
      <c r="F80" s="10">
        <f t="shared" si="14"/>
        <v>1.8903591682419618E-2</v>
      </c>
      <c r="G80" s="10">
        <f t="shared" si="15"/>
        <v>1.8727139050697731E-2</v>
      </c>
      <c r="K80" s="5">
        <v>72</v>
      </c>
      <c r="L80" s="7" t="s">
        <v>105</v>
      </c>
      <c r="M80" s="8">
        <v>21929315</v>
      </c>
      <c r="N80" s="9">
        <v>12600</v>
      </c>
      <c r="O80" s="10">
        <f t="shared" si="16"/>
        <v>-1.0212097407698351E-2</v>
      </c>
      <c r="P80" s="10">
        <f t="shared" si="17"/>
        <v>-1.0264598611882839E-2</v>
      </c>
      <c r="T80" s="5">
        <v>72</v>
      </c>
      <c r="U80" s="7" t="s">
        <v>105</v>
      </c>
      <c r="V80" s="8">
        <v>26014161</v>
      </c>
      <c r="W80" s="9">
        <v>13000</v>
      </c>
      <c r="X80" s="10">
        <f t="shared" si="18"/>
        <v>-2.9850746268656692E-2</v>
      </c>
      <c r="Y80" s="10">
        <f t="shared" si="19"/>
        <v>-3.0305349495328922E-2</v>
      </c>
      <c r="AC80" s="5">
        <v>72</v>
      </c>
      <c r="AD80" s="7" t="s">
        <v>105</v>
      </c>
      <c r="AE80" s="8">
        <v>35798007</v>
      </c>
      <c r="AF80" s="9">
        <v>30400</v>
      </c>
      <c r="AG80" s="10">
        <f t="shared" si="20"/>
        <v>-1.6420361247947435E-3</v>
      </c>
      <c r="AH80" s="10">
        <f t="shared" si="21"/>
        <v>-1.6433857437300147E-3</v>
      </c>
      <c r="AL80" s="5">
        <v>72</v>
      </c>
      <c r="AM80" s="7" t="s">
        <v>105</v>
      </c>
      <c r="AN80" s="8">
        <v>58492759</v>
      </c>
      <c r="AO80" s="9">
        <v>122100</v>
      </c>
      <c r="AP80" s="10">
        <f t="shared" si="22"/>
        <v>1.8348623853210899E-2</v>
      </c>
      <c r="AQ80" s="10">
        <f t="shared" si="23"/>
        <v>1.8182319083190328E-2</v>
      </c>
      <c r="AU80" s="5">
        <v>72</v>
      </c>
      <c r="AV80" s="7" t="s">
        <v>105</v>
      </c>
      <c r="AW80" s="8">
        <v>40000000</v>
      </c>
      <c r="AX80" s="9">
        <v>2810</v>
      </c>
      <c r="AY80" s="10">
        <f t="shared" si="24"/>
        <v>1.6274864376130127E-2</v>
      </c>
      <c r="AZ80" s="10">
        <f t="shared" si="25"/>
        <v>1.6143848371356205E-2</v>
      </c>
      <c r="BD80" s="5">
        <v>72</v>
      </c>
      <c r="BE80" s="7" t="s">
        <v>105</v>
      </c>
      <c r="BF80" s="8">
        <v>16068000</v>
      </c>
      <c r="BG80" s="9">
        <v>10130</v>
      </c>
      <c r="BH80" s="10">
        <f t="shared" si="26"/>
        <v>2.3232323232323271E-2</v>
      </c>
      <c r="BI80" s="10">
        <f t="shared" si="27"/>
        <v>2.2966561120047808E-2</v>
      </c>
    </row>
    <row r="81" spans="2:61" x14ac:dyDescent="0.4">
      <c r="B81" s="5">
        <v>73</v>
      </c>
      <c r="C81" s="7" t="s">
        <v>106</v>
      </c>
      <c r="D81" s="8">
        <v>24054799</v>
      </c>
      <c r="E81" s="9">
        <v>10580</v>
      </c>
      <c r="F81" s="10">
        <f t="shared" si="14"/>
        <v>-9.442870632672129E-4</v>
      </c>
      <c r="G81" s="10">
        <f t="shared" si="15"/>
        <v>-9.4473318316174739E-4</v>
      </c>
      <c r="K81" s="5">
        <v>73</v>
      </c>
      <c r="L81" s="7" t="s">
        <v>106</v>
      </c>
      <c r="M81" s="8">
        <v>21929315</v>
      </c>
      <c r="N81" s="9">
        <v>12730</v>
      </c>
      <c r="O81" s="10">
        <f t="shared" si="16"/>
        <v>-3.1323414252153459E-3</v>
      </c>
      <c r="P81" s="10">
        <f t="shared" si="17"/>
        <v>-3.1372574751327687E-3</v>
      </c>
      <c r="T81" s="5">
        <v>73</v>
      </c>
      <c r="U81" s="7" t="s">
        <v>106</v>
      </c>
      <c r="V81" s="8">
        <v>26014161</v>
      </c>
      <c r="W81" s="9">
        <v>13400</v>
      </c>
      <c r="X81" s="10">
        <f t="shared" si="18"/>
        <v>-2.0467836257309968E-2</v>
      </c>
      <c r="Y81" s="10">
        <f t="shared" si="19"/>
        <v>-2.0680205237538746E-2</v>
      </c>
      <c r="AC81" s="5">
        <v>73</v>
      </c>
      <c r="AD81" s="7" t="s">
        <v>106</v>
      </c>
      <c r="AE81" s="8">
        <v>35798007</v>
      </c>
      <c r="AF81" s="9">
        <v>30450</v>
      </c>
      <c r="AG81" s="10">
        <f t="shared" si="20"/>
        <v>-2.2471910112359605E-2</v>
      </c>
      <c r="AH81" s="10">
        <f t="shared" si="21"/>
        <v>-2.2728251077556175E-2</v>
      </c>
      <c r="AL81" s="5">
        <v>73</v>
      </c>
      <c r="AM81" s="7" t="s">
        <v>106</v>
      </c>
      <c r="AN81" s="8">
        <v>58492759</v>
      </c>
      <c r="AO81" s="9">
        <v>119900</v>
      </c>
      <c r="AP81" s="10">
        <f t="shared" si="22"/>
        <v>2.5083612040133207E-3</v>
      </c>
      <c r="AQ81" s="10">
        <f t="shared" si="23"/>
        <v>2.5052205169371418E-3</v>
      </c>
      <c r="AU81" s="5">
        <v>73</v>
      </c>
      <c r="AV81" s="7" t="s">
        <v>106</v>
      </c>
      <c r="AW81" s="8">
        <v>40000000</v>
      </c>
      <c r="AX81" s="9">
        <v>2765</v>
      </c>
      <c r="AY81" s="10">
        <f t="shared" si="24"/>
        <v>-7.1813285457810183E-3</v>
      </c>
      <c r="AZ81" s="10">
        <f t="shared" si="25"/>
        <v>-7.2072384049492715E-3</v>
      </c>
      <c r="BD81" s="5">
        <v>73</v>
      </c>
      <c r="BE81" s="7" t="s">
        <v>106</v>
      </c>
      <c r="BF81" s="8">
        <v>16068000</v>
      </c>
      <c r="BG81" s="9">
        <v>9900</v>
      </c>
      <c r="BH81" s="10">
        <f t="shared" si="26"/>
        <v>-7.0210631895687436E-3</v>
      </c>
      <c r="BI81" s="10">
        <f t="shared" si="27"/>
        <v>-7.0458268332027575E-3</v>
      </c>
    </row>
    <row r="82" spans="2:61" x14ac:dyDescent="0.4">
      <c r="B82" s="5">
        <v>74</v>
      </c>
      <c r="C82" s="7" t="s">
        <v>107</v>
      </c>
      <c r="D82" s="8">
        <v>24054799</v>
      </c>
      <c r="E82" s="9">
        <v>10590</v>
      </c>
      <c r="F82" s="10">
        <f t="shared" si="14"/>
        <v>-9.4339622641514964E-4</v>
      </c>
      <c r="G82" s="10">
        <f t="shared" si="15"/>
        <v>-9.4384150470642417E-4</v>
      </c>
      <c r="K82" s="5">
        <v>74</v>
      </c>
      <c r="L82" s="7" t="s">
        <v>107</v>
      </c>
      <c r="M82" s="8">
        <v>21929315</v>
      </c>
      <c r="N82" s="9">
        <v>12770</v>
      </c>
      <c r="O82" s="10">
        <f t="shared" si="16"/>
        <v>1.0284810126582222E-2</v>
      </c>
      <c r="P82" s="10">
        <f t="shared" si="17"/>
        <v>1.0232281325736503E-2</v>
      </c>
      <c r="T82" s="5">
        <v>74</v>
      </c>
      <c r="U82" s="7" t="s">
        <v>107</v>
      </c>
      <c r="V82" s="8">
        <v>26014161</v>
      </c>
      <c r="W82" s="9">
        <v>13680</v>
      </c>
      <c r="X82" s="10">
        <f t="shared" si="18"/>
        <v>-6.7484662576687171E-2</v>
      </c>
      <c r="Y82" s="10">
        <f t="shared" si="19"/>
        <v>-6.9869679960486E-2</v>
      </c>
      <c r="AC82" s="5">
        <v>74</v>
      </c>
      <c r="AD82" s="7" t="s">
        <v>107</v>
      </c>
      <c r="AE82" s="8">
        <v>35798007</v>
      </c>
      <c r="AF82" s="9">
        <v>31150</v>
      </c>
      <c r="AG82" s="10">
        <f t="shared" si="20"/>
        <v>-6.3795853269537073E-3</v>
      </c>
      <c r="AH82" s="10">
        <f t="shared" si="21"/>
        <v>-6.4000218454675108E-3</v>
      </c>
      <c r="AL82" s="5">
        <v>74</v>
      </c>
      <c r="AM82" s="7" t="s">
        <v>107</v>
      </c>
      <c r="AN82" s="8">
        <v>58492759</v>
      </c>
      <c r="AO82" s="9">
        <v>119600</v>
      </c>
      <c r="AP82" s="10">
        <f t="shared" si="22"/>
        <v>0</v>
      </c>
      <c r="AQ82" s="10">
        <f t="shared" si="23"/>
        <v>0</v>
      </c>
      <c r="AU82" s="5">
        <v>74</v>
      </c>
      <c r="AV82" s="7" t="s">
        <v>107</v>
      </c>
      <c r="AW82" s="8">
        <v>40000000</v>
      </c>
      <c r="AX82" s="9">
        <v>2785</v>
      </c>
      <c r="AY82" s="10">
        <f t="shared" si="24"/>
        <v>-1.7921146953404632E-3</v>
      </c>
      <c r="AZ82" s="10">
        <f t="shared" si="25"/>
        <v>-1.7937224540268775E-3</v>
      </c>
      <c r="BD82" s="5">
        <v>74</v>
      </c>
      <c r="BE82" s="7" t="s">
        <v>107</v>
      </c>
      <c r="BF82" s="8">
        <v>16068000</v>
      </c>
      <c r="BG82" s="9">
        <v>9970</v>
      </c>
      <c r="BH82" s="10">
        <f t="shared" si="26"/>
        <v>1.0040160642570406E-3</v>
      </c>
      <c r="BI82" s="10">
        <f t="shared" si="27"/>
        <v>1.003512377240109E-3</v>
      </c>
    </row>
    <row r="83" spans="2:61" x14ac:dyDescent="0.4">
      <c r="B83" s="5">
        <v>75</v>
      </c>
      <c r="C83" s="7" t="s">
        <v>108</v>
      </c>
      <c r="D83" s="8">
        <v>24054799</v>
      </c>
      <c r="E83" s="9">
        <v>10600</v>
      </c>
      <c r="F83" s="10">
        <f t="shared" si="14"/>
        <v>1.5325670498084198E-2</v>
      </c>
      <c r="G83" s="10">
        <f t="shared" si="15"/>
        <v>1.5209418663528708E-2</v>
      </c>
      <c r="K83" s="5">
        <v>75</v>
      </c>
      <c r="L83" s="7" t="s">
        <v>108</v>
      </c>
      <c r="M83" s="8">
        <v>21929315</v>
      </c>
      <c r="N83" s="9">
        <v>12640</v>
      </c>
      <c r="O83" s="10">
        <f t="shared" si="16"/>
        <v>8.7789305666401418E-3</v>
      </c>
      <c r="P83" s="10">
        <f t="shared" si="17"/>
        <v>8.7406198107345071E-3</v>
      </c>
      <c r="T83" s="5">
        <v>75</v>
      </c>
      <c r="U83" s="7" t="s">
        <v>108</v>
      </c>
      <c r="V83" s="8">
        <v>26014161</v>
      </c>
      <c r="W83" s="9">
        <v>14670</v>
      </c>
      <c r="X83" s="10">
        <f t="shared" si="18"/>
        <v>2.515723270440251E-2</v>
      </c>
      <c r="Y83" s="10">
        <f t="shared" si="19"/>
        <v>2.4845998586530804E-2</v>
      </c>
      <c r="AC83" s="5">
        <v>75</v>
      </c>
      <c r="AD83" s="7" t="s">
        <v>108</v>
      </c>
      <c r="AE83" s="8">
        <v>35798007</v>
      </c>
      <c r="AF83" s="9">
        <v>31350</v>
      </c>
      <c r="AG83" s="10">
        <f t="shared" si="20"/>
        <v>-1.5698587127158548E-2</v>
      </c>
      <c r="AH83" s="10">
        <f t="shared" si="21"/>
        <v>-1.5823114939242641E-2</v>
      </c>
      <c r="AL83" s="5">
        <v>75</v>
      </c>
      <c r="AM83" s="7" t="s">
        <v>108</v>
      </c>
      <c r="AN83" s="8">
        <v>58492759</v>
      </c>
      <c r="AO83" s="9">
        <v>119600</v>
      </c>
      <c r="AP83" s="10">
        <f t="shared" si="22"/>
        <v>3.3557046979866278E-3</v>
      </c>
      <c r="AQ83" s="10">
        <f t="shared" si="23"/>
        <v>3.3500868852820269E-3</v>
      </c>
      <c r="AU83" s="5">
        <v>75</v>
      </c>
      <c r="AV83" s="7" t="s">
        <v>108</v>
      </c>
      <c r="AW83" s="8">
        <v>40000000</v>
      </c>
      <c r="AX83" s="9">
        <v>2790</v>
      </c>
      <c r="AY83" s="10">
        <f t="shared" si="24"/>
        <v>1.8248175182481674E-2</v>
      </c>
      <c r="AZ83" s="10">
        <f t="shared" si="25"/>
        <v>1.8083675433295327E-2</v>
      </c>
      <c r="BD83" s="5">
        <v>75</v>
      </c>
      <c r="BE83" s="7" t="s">
        <v>108</v>
      </c>
      <c r="BF83" s="8">
        <v>16068000</v>
      </c>
      <c r="BG83" s="9">
        <v>9960</v>
      </c>
      <c r="BH83" s="10">
        <f t="shared" si="26"/>
        <v>3.2124352331606154E-2</v>
      </c>
      <c r="BI83" s="10">
        <f t="shared" si="27"/>
        <v>3.1619156245612248E-2</v>
      </c>
    </row>
    <row r="84" spans="2:61" x14ac:dyDescent="0.4">
      <c r="B84" s="5">
        <v>76</v>
      </c>
      <c r="C84" s="7" t="s">
        <v>109</v>
      </c>
      <c r="D84" s="8">
        <v>24054799</v>
      </c>
      <c r="E84" s="9">
        <v>10440</v>
      </c>
      <c r="F84" s="10">
        <f t="shared" si="14"/>
        <v>3.2640949554896048E-2</v>
      </c>
      <c r="G84" s="10">
        <f t="shared" si="15"/>
        <v>3.2119549422112523E-2</v>
      </c>
      <c r="K84" s="5">
        <v>76</v>
      </c>
      <c r="L84" s="7" t="s">
        <v>109</v>
      </c>
      <c r="M84" s="8">
        <v>21929315</v>
      </c>
      <c r="N84" s="9">
        <v>12530</v>
      </c>
      <c r="O84" s="10">
        <f t="shared" si="16"/>
        <v>2.2022838499184294E-2</v>
      </c>
      <c r="P84" s="10">
        <f t="shared" si="17"/>
        <v>2.1783838399911548E-2</v>
      </c>
      <c r="T84" s="5">
        <v>76</v>
      </c>
      <c r="U84" s="7" t="s">
        <v>109</v>
      </c>
      <c r="V84" s="8">
        <v>26014161</v>
      </c>
      <c r="W84" s="9">
        <v>14310</v>
      </c>
      <c r="X84" s="10">
        <f t="shared" si="18"/>
        <v>1.9957234497505416E-2</v>
      </c>
      <c r="Y84" s="10">
        <f t="shared" si="19"/>
        <v>1.9760699453990036E-2</v>
      </c>
      <c r="AC84" s="5">
        <v>76</v>
      </c>
      <c r="AD84" s="7" t="s">
        <v>109</v>
      </c>
      <c r="AE84" s="8">
        <v>35798007</v>
      </c>
      <c r="AF84" s="9">
        <v>31850</v>
      </c>
      <c r="AG84" s="10">
        <f t="shared" si="20"/>
        <v>6.3191153238546516E-3</v>
      </c>
      <c r="AH84" s="10">
        <f t="shared" si="21"/>
        <v>6.2992334279871505E-3</v>
      </c>
      <c r="AL84" s="5">
        <v>76</v>
      </c>
      <c r="AM84" s="7" t="s">
        <v>109</v>
      </c>
      <c r="AN84" s="8">
        <v>58492759</v>
      </c>
      <c r="AO84" s="9">
        <v>119200</v>
      </c>
      <c r="AP84" s="10">
        <f t="shared" si="22"/>
        <v>8.4602368866328881E-3</v>
      </c>
      <c r="AQ84" s="10">
        <f t="shared" si="23"/>
        <v>8.4246496592516231E-3</v>
      </c>
      <c r="AU84" s="5">
        <v>76</v>
      </c>
      <c r="AV84" s="7" t="s">
        <v>109</v>
      </c>
      <c r="AW84" s="8">
        <v>40000000</v>
      </c>
      <c r="AX84" s="9">
        <v>2740</v>
      </c>
      <c r="AY84" s="10">
        <f t="shared" si="24"/>
        <v>2.814258911819878E-2</v>
      </c>
      <c r="AZ84" s="10">
        <f t="shared" si="25"/>
        <v>2.7753862782170902E-2</v>
      </c>
      <c r="BD84" s="5">
        <v>76</v>
      </c>
      <c r="BE84" s="7" t="s">
        <v>109</v>
      </c>
      <c r="BF84" s="8">
        <v>16068000</v>
      </c>
      <c r="BG84" s="9">
        <v>9650</v>
      </c>
      <c r="BH84" s="10">
        <f t="shared" si="26"/>
        <v>2.1164021164021163E-2</v>
      </c>
      <c r="BI84" s="10">
        <f t="shared" si="27"/>
        <v>2.0943173845243173E-2</v>
      </c>
    </row>
    <row r="85" spans="2:61" x14ac:dyDescent="0.4">
      <c r="B85" s="5">
        <v>77</v>
      </c>
      <c r="C85" s="7" t="s">
        <v>110</v>
      </c>
      <c r="D85" s="8">
        <v>24054799</v>
      </c>
      <c r="E85" s="9">
        <v>10110</v>
      </c>
      <c r="F85" s="10">
        <f t="shared" si="14"/>
        <v>-4.9212598425196763E-3</v>
      </c>
      <c r="G85" s="10">
        <f t="shared" si="15"/>
        <v>-4.9334091179557768E-3</v>
      </c>
      <c r="K85" s="5">
        <v>77</v>
      </c>
      <c r="L85" s="7" t="s">
        <v>110</v>
      </c>
      <c r="M85" s="8">
        <v>21929315</v>
      </c>
      <c r="N85" s="9">
        <v>12260</v>
      </c>
      <c r="O85" s="10">
        <f t="shared" si="16"/>
        <v>8.1632653061225469E-4</v>
      </c>
      <c r="P85" s="10">
        <f t="shared" si="17"/>
        <v>8.1599351732935925E-4</v>
      </c>
      <c r="T85" s="5">
        <v>77</v>
      </c>
      <c r="U85" s="7" t="s">
        <v>110</v>
      </c>
      <c r="V85" s="8">
        <v>26014161</v>
      </c>
      <c r="W85" s="9">
        <v>14030</v>
      </c>
      <c r="X85" s="10">
        <f t="shared" si="18"/>
        <v>1.427551748750977E-3</v>
      </c>
      <c r="Y85" s="10">
        <f t="shared" si="19"/>
        <v>1.4265337654540214E-3</v>
      </c>
      <c r="AC85" s="5">
        <v>77</v>
      </c>
      <c r="AD85" s="7" t="s">
        <v>110</v>
      </c>
      <c r="AE85" s="8">
        <v>35798007</v>
      </c>
      <c r="AF85" s="9">
        <v>31650</v>
      </c>
      <c r="AG85" s="10">
        <f t="shared" si="20"/>
        <v>-7.456140350877194E-2</v>
      </c>
      <c r="AH85" s="10">
        <f t="shared" si="21"/>
        <v>-7.7487495478374288E-2</v>
      </c>
      <c r="AL85" s="5">
        <v>77</v>
      </c>
      <c r="AM85" s="7" t="s">
        <v>110</v>
      </c>
      <c r="AN85" s="8">
        <v>58492759</v>
      </c>
      <c r="AO85" s="9">
        <v>118200</v>
      </c>
      <c r="AP85" s="10">
        <f t="shared" si="22"/>
        <v>-4.2122999157540031E-3</v>
      </c>
      <c r="AQ85" s="10">
        <f t="shared" si="23"/>
        <v>-4.2211966436245313E-3</v>
      </c>
      <c r="AU85" s="5">
        <v>77</v>
      </c>
      <c r="AV85" s="7" t="s">
        <v>110</v>
      </c>
      <c r="AW85" s="8">
        <v>40000000</v>
      </c>
      <c r="AX85" s="9">
        <v>2665</v>
      </c>
      <c r="AY85" s="10">
        <f t="shared" si="24"/>
        <v>1.879699248120259E-3</v>
      </c>
      <c r="AZ85" s="10">
        <f t="shared" si="25"/>
        <v>1.8779348242001143E-3</v>
      </c>
      <c r="BD85" s="5">
        <v>77</v>
      </c>
      <c r="BE85" s="7" t="s">
        <v>110</v>
      </c>
      <c r="BF85" s="8">
        <v>16068000</v>
      </c>
      <c r="BG85" s="9">
        <v>9450</v>
      </c>
      <c r="BH85" s="10">
        <f t="shared" si="26"/>
        <v>9.6153846153845812E-3</v>
      </c>
      <c r="BI85" s="10">
        <f t="shared" si="27"/>
        <v>9.5694510161506725E-3</v>
      </c>
    </row>
    <row r="86" spans="2:61" x14ac:dyDescent="0.4">
      <c r="B86" s="5">
        <v>78</v>
      </c>
      <c r="C86" s="7" t="s">
        <v>111</v>
      </c>
      <c r="D86" s="8">
        <v>24054799</v>
      </c>
      <c r="E86" s="9">
        <v>10160</v>
      </c>
      <c r="F86" s="10">
        <f t="shared" si="14"/>
        <v>1.6000000000000014E-2</v>
      </c>
      <c r="G86" s="10">
        <f t="shared" si="15"/>
        <v>1.5873349156290163E-2</v>
      </c>
      <c r="K86" s="5">
        <v>78</v>
      </c>
      <c r="L86" s="7" t="s">
        <v>111</v>
      </c>
      <c r="M86" s="8">
        <v>21929315</v>
      </c>
      <c r="N86" s="9">
        <v>12250</v>
      </c>
      <c r="O86" s="10">
        <f t="shared" si="16"/>
        <v>7.4013157894736725E-3</v>
      </c>
      <c r="P86" s="10">
        <f t="shared" si="17"/>
        <v>7.3740604527150313E-3</v>
      </c>
      <c r="T86" s="5">
        <v>78</v>
      </c>
      <c r="U86" s="7" t="s">
        <v>111</v>
      </c>
      <c r="V86" s="8">
        <v>26014161</v>
      </c>
      <c r="W86" s="9">
        <v>14010</v>
      </c>
      <c r="X86" s="10">
        <f t="shared" si="18"/>
        <v>-4.5640326975476819E-2</v>
      </c>
      <c r="Y86" s="10">
        <f t="shared" si="19"/>
        <v>-4.6714662837453867E-2</v>
      </c>
      <c r="AC86" s="5">
        <v>78</v>
      </c>
      <c r="AD86" s="7" t="s">
        <v>111</v>
      </c>
      <c r="AE86" s="8">
        <v>35798007</v>
      </c>
      <c r="AF86" s="9">
        <v>34200</v>
      </c>
      <c r="AG86" s="10">
        <f t="shared" si="20"/>
        <v>4.2682926829268331E-2</v>
      </c>
      <c r="AH86" s="10">
        <f t="shared" si="21"/>
        <v>4.1797128678461457E-2</v>
      </c>
      <c r="AL86" s="5">
        <v>78</v>
      </c>
      <c r="AM86" s="7" t="s">
        <v>111</v>
      </c>
      <c r="AN86" s="8">
        <v>58492759</v>
      </c>
      <c r="AO86" s="9">
        <v>118700</v>
      </c>
      <c r="AP86" s="10">
        <f t="shared" si="22"/>
        <v>1.1935208866155067E-2</v>
      </c>
      <c r="AQ86" s="10">
        <f t="shared" si="23"/>
        <v>1.1864545956192485E-2</v>
      </c>
      <c r="AU86" s="5">
        <v>78</v>
      </c>
      <c r="AV86" s="7" t="s">
        <v>111</v>
      </c>
      <c r="AW86" s="8">
        <v>40000000</v>
      </c>
      <c r="AX86" s="9">
        <v>2660</v>
      </c>
      <c r="AY86" s="10">
        <f t="shared" si="24"/>
        <v>-5.6074766355139749E-3</v>
      </c>
      <c r="AZ86" s="10">
        <f t="shared" si="25"/>
        <v>-5.62325755436212E-3</v>
      </c>
      <c r="BD86" s="5">
        <v>78</v>
      </c>
      <c r="BE86" s="7" t="s">
        <v>111</v>
      </c>
      <c r="BF86" s="8">
        <v>16068000</v>
      </c>
      <c r="BG86" s="9">
        <v>9360</v>
      </c>
      <c r="BH86" s="10">
        <f t="shared" si="26"/>
        <v>9.7087378640776656E-3</v>
      </c>
      <c r="BI86" s="10">
        <f t="shared" si="27"/>
        <v>9.6619109117368901E-3</v>
      </c>
    </row>
    <row r="87" spans="2:61" x14ac:dyDescent="0.4">
      <c r="B87" s="5">
        <v>79</v>
      </c>
      <c r="C87" s="7" t="s">
        <v>112</v>
      </c>
      <c r="D87" s="8">
        <v>24054799</v>
      </c>
      <c r="E87" s="9">
        <v>10000</v>
      </c>
      <c r="F87" s="10">
        <f t="shared" si="14"/>
        <v>2.249488752556239E-2</v>
      </c>
      <c r="G87" s="10">
        <f t="shared" si="15"/>
        <v>2.2245608947319737E-2</v>
      </c>
      <c r="K87" s="5">
        <v>79</v>
      </c>
      <c r="L87" s="7" t="s">
        <v>112</v>
      </c>
      <c r="M87" s="8">
        <v>21929315</v>
      </c>
      <c r="N87" s="9">
        <v>12160</v>
      </c>
      <c r="O87" s="10">
        <f t="shared" si="16"/>
        <v>-2.4077046548956704E-2</v>
      </c>
      <c r="P87" s="10">
        <f t="shared" si="17"/>
        <v>-2.437163682128618E-2</v>
      </c>
      <c r="T87" s="5">
        <v>79</v>
      </c>
      <c r="U87" s="7" t="s">
        <v>112</v>
      </c>
      <c r="V87" s="8">
        <v>26014161</v>
      </c>
      <c r="W87" s="9">
        <v>14680</v>
      </c>
      <c r="X87" s="10">
        <f t="shared" si="18"/>
        <v>-2.6525198938992078E-2</v>
      </c>
      <c r="Y87" s="10">
        <f t="shared" si="19"/>
        <v>-2.6883339393440529E-2</v>
      </c>
      <c r="AC87" s="5">
        <v>79</v>
      </c>
      <c r="AD87" s="7" t="s">
        <v>112</v>
      </c>
      <c r="AE87" s="8">
        <v>35798007</v>
      </c>
      <c r="AF87" s="9">
        <v>32800</v>
      </c>
      <c r="AG87" s="10">
        <f t="shared" si="20"/>
        <v>-1.5220700152207556E-3</v>
      </c>
      <c r="AH87" s="10">
        <f t="shared" si="21"/>
        <v>-1.5232295405215258E-3</v>
      </c>
      <c r="AL87" s="5">
        <v>79</v>
      </c>
      <c r="AM87" s="7" t="s">
        <v>112</v>
      </c>
      <c r="AN87" s="8">
        <v>58492759</v>
      </c>
      <c r="AO87" s="9">
        <v>117300</v>
      </c>
      <c r="AP87" s="10">
        <f t="shared" si="22"/>
        <v>-6.7739204064352077E-3</v>
      </c>
      <c r="AQ87" s="10">
        <f t="shared" si="23"/>
        <v>-6.7969675438868254E-3</v>
      </c>
      <c r="AU87" s="5">
        <v>79</v>
      </c>
      <c r="AV87" s="7" t="s">
        <v>112</v>
      </c>
      <c r="AW87" s="8">
        <v>40000000</v>
      </c>
      <c r="AX87" s="9">
        <v>2675</v>
      </c>
      <c r="AY87" s="10">
        <f t="shared" si="24"/>
        <v>3.0828516377649384E-2</v>
      </c>
      <c r="AZ87" s="10">
        <f t="shared" si="25"/>
        <v>3.0362863730117966E-2</v>
      </c>
      <c r="BD87" s="5">
        <v>79</v>
      </c>
      <c r="BE87" s="7" t="s">
        <v>112</v>
      </c>
      <c r="BF87" s="8">
        <v>16068000</v>
      </c>
      <c r="BG87" s="9">
        <v>9270</v>
      </c>
      <c r="BH87" s="10">
        <f t="shared" si="26"/>
        <v>-6.4308681672026191E-3</v>
      </c>
      <c r="BI87" s="10">
        <f t="shared" si="27"/>
        <v>-6.4516352814887193E-3</v>
      </c>
    </row>
    <row r="88" spans="2:61" x14ac:dyDescent="0.4">
      <c r="B88" s="5">
        <v>80</v>
      </c>
      <c r="C88" s="7" t="s">
        <v>113</v>
      </c>
      <c r="D88" s="8">
        <v>24054799</v>
      </c>
      <c r="E88" s="9">
        <v>9780</v>
      </c>
      <c r="F88" s="10">
        <f t="shared" si="14"/>
        <v>-2.7833001988071593E-2</v>
      </c>
      <c r="G88" s="10">
        <f t="shared" si="15"/>
        <v>-2.8227680624867205E-2</v>
      </c>
      <c r="K88" s="5">
        <v>80</v>
      </c>
      <c r="L88" s="7" t="s">
        <v>113</v>
      </c>
      <c r="M88" s="8">
        <v>21929315</v>
      </c>
      <c r="N88" s="9">
        <v>12460</v>
      </c>
      <c r="O88" s="10">
        <f t="shared" si="16"/>
        <v>1.9639934533551617E-2</v>
      </c>
      <c r="P88" s="10">
        <f t="shared" si="17"/>
        <v>1.944955961585788E-2</v>
      </c>
      <c r="T88" s="5">
        <v>80</v>
      </c>
      <c r="U88" s="7" t="s">
        <v>113</v>
      </c>
      <c r="V88" s="8">
        <v>26014161</v>
      </c>
      <c r="W88" s="9">
        <v>15080</v>
      </c>
      <c r="X88" s="10">
        <f t="shared" si="18"/>
        <v>4.2876901798063694E-2</v>
      </c>
      <c r="Y88" s="10">
        <f t="shared" si="19"/>
        <v>4.1983145849191453E-2</v>
      </c>
      <c r="AC88" s="5">
        <v>80</v>
      </c>
      <c r="AD88" s="7" t="s">
        <v>113</v>
      </c>
      <c r="AE88" s="8">
        <v>35798007</v>
      </c>
      <c r="AF88" s="9">
        <v>32850</v>
      </c>
      <c r="AG88" s="10">
        <f t="shared" si="20"/>
        <v>-1.646706586826352E-2</v>
      </c>
      <c r="AH88" s="10">
        <f t="shared" si="21"/>
        <v>-1.660415505203526E-2</v>
      </c>
      <c r="AL88" s="5">
        <v>80</v>
      </c>
      <c r="AM88" s="7" t="s">
        <v>113</v>
      </c>
      <c r="AN88" s="8">
        <v>58492759</v>
      </c>
      <c r="AO88" s="9">
        <v>118100</v>
      </c>
      <c r="AP88" s="10">
        <f t="shared" si="22"/>
        <v>8.4745762711868622E-4</v>
      </c>
      <c r="AQ88" s="10">
        <f t="shared" si="23"/>
        <v>8.4709873765190311E-4</v>
      </c>
      <c r="AU88" s="5">
        <v>80</v>
      </c>
      <c r="AV88" s="7" t="s">
        <v>113</v>
      </c>
      <c r="AW88" s="8">
        <v>40000000</v>
      </c>
      <c r="AX88" s="9">
        <v>2595</v>
      </c>
      <c r="AY88" s="10">
        <f t="shared" si="24"/>
        <v>-1.3307984790874472E-2</v>
      </c>
      <c r="AZ88" s="10">
        <f t="shared" si="25"/>
        <v>-1.3397329571821168E-2</v>
      </c>
      <c r="BD88" s="5">
        <v>80</v>
      </c>
      <c r="BE88" s="7" t="s">
        <v>113</v>
      </c>
      <c r="BF88" s="8">
        <v>16068000</v>
      </c>
      <c r="BG88" s="9">
        <v>9330</v>
      </c>
      <c r="BH88" s="10">
        <f t="shared" si="26"/>
        <v>-3.3160621761658016E-2</v>
      </c>
      <c r="BI88" s="10">
        <f t="shared" si="27"/>
        <v>-3.3722900491642088E-2</v>
      </c>
    </row>
    <row r="89" spans="2:61" x14ac:dyDescent="0.4">
      <c r="B89" s="5">
        <v>81</v>
      </c>
      <c r="C89" s="7" t="s">
        <v>114</v>
      </c>
      <c r="D89" s="8">
        <v>24054799</v>
      </c>
      <c r="E89" s="9">
        <v>10060</v>
      </c>
      <c r="F89" s="10">
        <f t="shared" si="14"/>
        <v>-2.3300970873786353E-2</v>
      </c>
      <c r="G89" s="10">
        <f t="shared" si="15"/>
        <v>-2.3576730563996885E-2</v>
      </c>
      <c r="K89" s="5">
        <v>81</v>
      </c>
      <c r="L89" s="7" t="s">
        <v>114</v>
      </c>
      <c r="M89" s="8">
        <v>21929315</v>
      </c>
      <c r="N89" s="9">
        <v>12220</v>
      </c>
      <c r="O89" s="10">
        <f t="shared" si="16"/>
        <v>-1.8473895582329369E-2</v>
      </c>
      <c r="P89" s="10">
        <f t="shared" si="17"/>
        <v>-1.8646669167267409E-2</v>
      </c>
      <c r="T89" s="5">
        <v>81</v>
      </c>
      <c r="U89" s="7" t="s">
        <v>114</v>
      </c>
      <c r="V89" s="8">
        <v>26014161</v>
      </c>
      <c r="W89" s="9">
        <v>14460</v>
      </c>
      <c r="X89" s="10">
        <f t="shared" si="18"/>
        <v>5.3935860058309082E-2</v>
      </c>
      <c r="Y89" s="10">
        <f t="shared" si="19"/>
        <v>5.2531594432879504E-2</v>
      </c>
      <c r="AC89" s="5">
        <v>81</v>
      </c>
      <c r="AD89" s="7" t="s">
        <v>114</v>
      </c>
      <c r="AE89" s="8">
        <v>35798007</v>
      </c>
      <c r="AF89" s="9">
        <v>33400</v>
      </c>
      <c r="AG89" s="10">
        <f t="shared" si="20"/>
        <v>-9.1156462585033959E-2</v>
      </c>
      <c r="AH89" s="10">
        <f t="shared" si="21"/>
        <v>-9.5582325676190891E-2</v>
      </c>
      <c r="AL89" s="5">
        <v>81</v>
      </c>
      <c r="AM89" s="7" t="s">
        <v>114</v>
      </c>
      <c r="AN89" s="8">
        <v>58492759</v>
      </c>
      <c r="AO89" s="9">
        <v>118000</v>
      </c>
      <c r="AP89" s="10">
        <f t="shared" si="22"/>
        <v>-1.9118869492934287E-2</v>
      </c>
      <c r="AQ89" s="10">
        <f t="shared" si="23"/>
        <v>-1.930399851496839E-2</v>
      </c>
      <c r="AU89" s="5">
        <v>81</v>
      </c>
      <c r="AV89" s="7" t="s">
        <v>114</v>
      </c>
      <c r="AW89" s="8">
        <v>40000000</v>
      </c>
      <c r="AX89" s="9">
        <v>2630</v>
      </c>
      <c r="AY89" s="10">
        <f t="shared" si="24"/>
        <v>-2.4118738404452666E-2</v>
      </c>
      <c r="AZ89" s="10">
        <f t="shared" si="25"/>
        <v>-2.441435817128727E-2</v>
      </c>
      <c r="BD89" s="5">
        <v>81</v>
      </c>
      <c r="BE89" s="7" t="s">
        <v>114</v>
      </c>
      <c r="BF89" s="8">
        <v>16068000</v>
      </c>
      <c r="BG89" s="9">
        <v>9650</v>
      </c>
      <c r="BH89" s="10">
        <f t="shared" si="26"/>
        <v>-3.5000000000000031E-2</v>
      </c>
      <c r="BI89" s="10">
        <f t="shared" si="27"/>
        <v>-3.562717764315116E-2</v>
      </c>
    </row>
    <row r="90" spans="2:61" x14ac:dyDescent="0.4">
      <c r="B90" s="5">
        <v>82</v>
      </c>
      <c r="C90" s="7" t="s">
        <v>115</v>
      </c>
      <c r="D90" s="8">
        <v>24054799</v>
      </c>
      <c r="E90" s="9">
        <v>10300</v>
      </c>
      <c r="F90" s="10">
        <f t="shared" si="14"/>
        <v>-4.8309178743961567E-3</v>
      </c>
      <c r="G90" s="10">
        <f t="shared" si="15"/>
        <v>-4.8426244757880151E-3</v>
      </c>
      <c r="K90" s="5">
        <v>82</v>
      </c>
      <c r="L90" s="7" t="s">
        <v>115</v>
      </c>
      <c r="M90" s="8">
        <v>21929315</v>
      </c>
      <c r="N90" s="9">
        <v>12450</v>
      </c>
      <c r="O90" s="10">
        <f t="shared" si="16"/>
        <v>-1.347068145800312E-2</v>
      </c>
      <c r="P90" s="10">
        <f t="shared" si="17"/>
        <v>-1.3562234202350427E-2</v>
      </c>
      <c r="T90" s="5">
        <v>82</v>
      </c>
      <c r="U90" s="7" t="s">
        <v>115</v>
      </c>
      <c r="V90" s="8">
        <v>26014161</v>
      </c>
      <c r="W90" s="9">
        <v>13720</v>
      </c>
      <c r="X90" s="10">
        <f t="shared" si="18"/>
        <v>-3.0388692579505272E-2</v>
      </c>
      <c r="Y90" s="10">
        <f t="shared" si="19"/>
        <v>-3.0860001791507437E-2</v>
      </c>
      <c r="AC90" s="5">
        <v>82</v>
      </c>
      <c r="AD90" s="7" t="s">
        <v>115</v>
      </c>
      <c r="AE90" s="8">
        <v>35798007</v>
      </c>
      <c r="AF90" s="9">
        <v>36750</v>
      </c>
      <c r="AG90" s="10">
        <f t="shared" si="20"/>
        <v>-1.3422818791946289E-2</v>
      </c>
      <c r="AH90" s="10">
        <f t="shared" si="21"/>
        <v>-1.351371916672282E-2</v>
      </c>
      <c r="AL90" s="5">
        <v>82</v>
      </c>
      <c r="AM90" s="7" t="s">
        <v>115</v>
      </c>
      <c r="AN90" s="8">
        <v>58492759</v>
      </c>
      <c r="AO90" s="9">
        <v>120300</v>
      </c>
      <c r="AP90" s="10">
        <f t="shared" si="22"/>
        <v>2.4999999999999467E-3</v>
      </c>
      <c r="AQ90" s="10">
        <f t="shared" si="23"/>
        <v>2.4968801985871458E-3</v>
      </c>
      <c r="AU90" s="5">
        <v>82</v>
      </c>
      <c r="AV90" s="7" t="s">
        <v>115</v>
      </c>
      <c r="AW90" s="8">
        <v>40000000</v>
      </c>
      <c r="AX90" s="9">
        <v>2695</v>
      </c>
      <c r="AY90" s="10">
        <f t="shared" si="24"/>
        <v>1.1257035647279645E-2</v>
      </c>
      <c r="AZ90" s="10">
        <f t="shared" si="25"/>
        <v>1.1194146743152708E-2</v>
      </c>
      <c r="BD90" s="5">
        <v>82</v>
      </c>
      <c r="BE90" s="7" t="s">
        <v>115</v>
      </c>
      <c r="BF90" s="8">
        <v>16068000</v>
      </c>
      <c r="BG90" s="9">
        <v>10000</v>
      </c>
      <c r="BH90" s="10">
        <f t="shared" si="26"/>
        <v>3.0927835051546282E-2</v>
      </c>
      <c r="BI90" s="10">
        <f t="shared" si="27"/>
        <v>3.0459207484708439E-2</v>
      </c>
    </row>
    <row r="91" spans="2:61" x14ac:dyDescent="0.4">
      <c r="B91" s="5">
        <v>83</v>
      </c>
      <c r="C91" s="7" t="s">
        <v>116</v>
      </c>
      <c r="D91" s="8">
        <v>24054799</v>
      </c>
      <c r="E91" s="9">
        <v>10350</v>
      </c>
      <c r="F91" s="10">
        <f t="shared" si="14"/>
        <v>1.07421875E-2</v>
      </c>
      <c r="G91" s="10">
        <f t="shared" si="15"/>
        <v>1.0684900100016353E-2</v>
      </c>
      <c r="K91" s="5">
        <v>83</v>
      </c>
      <c r="L91" s="7" t="s">
        <v>116</v>
      </c>
      <c r="M91" s="8">
        <v>21929315</v>
      </c>
      <c r="N91" s="9">
        <v>12620</v>
      </c>
      <c r="O91" s="10">
        <f t="shared" si="16"/>
        <v>3.9777247414478634E-3</v>
      </c>
      <c r="P91" s="10">
        <f t="shared" si="17"/>
        <v>3.969834510911016E-3</v>
      </c>
      <c r="T91" s="5">
        <v>83</v>
      </c>
      <c r="U91" s="7" t="s">
        <v>116</v>
      </c>
      <c r="V91" s="8">
        <v>26014161</v>
      </c>
      <c r="W91" s="9">
        <v>14150</v>
      </c>
      <c r="X91" s="10">
        <f t="shared" si="18"/>
        <v>7.2782410917361595E-2</v>
      </c>
      <c r="Y91" s="10">
        <f t="shared" si="19"/>
        <v>7.0255657360023357E-2</v>
      </c>
      <c r="AC91" s="5">
        <v>83</v>
      </c>
      <c r="AD91" s="7" t="s">
        <v>116</v>
      </c>
      <c r="AE91" s="8">
        <v>35798007</v>
      </c>
      <c r="AF91" s="9">
        <v>37250</v>
      </c>
      <c r="AG91" s="10">
        <f t="shared" si="20"/>
        <v>-2.3591087811271283E-2</v>
      </c>
      <c r="AH91" s="10">
        <f t="shared" si="21"/>
        <v>-2.3873812904897474E-2</v>
      </c>
      <c r="AL91" s="5">
        <v>83</v>
      </c>
      <c r="AM91" s="7" t="s">
        <v>116</v>
      </c>
      <c r="AN91" s="8">
        <v>58492759</v>
      </c>
      <c r="AO91" s="9">
        <v>120000</v>
      </c>
      <c r="AP91" s="10">
        <f t="shared" si="22"/>
        <v>-4.9751243781094301E-3</v>
      </c>
      <c r="AQ91" s="10">
        <f t="shared" si="23"/>
        <v>-4.9875415110390512E-3</v>
      </c>
      <c r="AU91" s="5">
        <v>83</v>
      </c>
      <c r="AV91" s="7" t="s">
        <v>116</v>
      </c>
      <c r="AW91" s="8">
        <v>40000000</v>
      </c>
      <c r="AX91" s="9">
        <v>2665</v>
      </c>
      <c r="AY91" s="10">
        <f t="shared" si="24"/>
        <v>1.879699248120259E-3</v>
      </c>
      <c r="AZ91" s="10">
        <f t="shared" si="25"/>
        <v>1.8779348242001143E-3</v>
      </c>
      <c r="BD91" s="5">
        <v>83</v>
      </c>
      <c r="BE91" s="7" t="s">
        <v>116</v>
      </c>
      <c r="BF91" s="8">
        <v>16068000</v>
      </c>
      <c r="BG91" s="9">
        <v>9700</v>
      </c>
      <c r="BH91" s="10">
        <f t="shared" si="26"/>
        <v>4.1407867494824835E-3</v>
      </c>
      <c r="BI91" s="10">
        <f t="shared" si="27"/>
        <v>4.1322372849105912E-3</v>
      </c>
    </row>
    <row r="92" spans="2:61" x14ac:dyDescent="0.4">
      <c r="B92" s="5">
        <v>84</v>
      </c>
      <c r="C92" s="7" t="s">
        <v>117</v>
      </c>
      <c r="D92" s="8">
        <v>24054799</v>
      </c>
      <c r="E92" s="9">
        <v>10240</v>
      </c>
      <c r="F92" s="10">
        <f t="shared" si="14"/>
        <v>-1.7274472168905985E-2</v>
      </c>
      <c r="G92" s="10">
        <f t="shared" si="15"/>
        <v>-1.7425416713859169E-2</v>
      </c>
      <c r="K92" s="5">
        <v>84</v>
      </c>
      <c r="L92" s="7" t="s">
        <v>117</v>
      </c>
      <c r="M92" s="8">
        <v>21929315</v>
      </c>
      <c r="N92" s="9">
        <v>12570</v>
      </c>
      <c r="O92" s="10">
        <f t="shared" si="16"/>
        <v>-1.7200938232994512E-2</v>
      </c>
      <c r="P92" s="10">
        <f t="shared" si="17"/>
        <v>-1.7350592988595252E-2</v>
      </c>
      <c r="T92" s="5">
        <v>84</v>
      </c>
      <c r="U92" s="7" t="s">
        <v>117</v>
      </c>
      <c r="V92" s="8">
        <v>26014161</v>
      </c>
      <c r="W92" s="9">
        <v>13190</v>
      </c>
      <c r="X92" s="10">
        <f t="shared" si="18"/>
        <v>4.4338875692794932E-2</v>
      </c>
      <c r="Y92" s="10">
        <f t="shared" si="19"/>
        <v>4.3384030366823492E-2</v>
      </c>
      <c r="AC92" s="5">
        <v>84</v>
      </c>
      <c r="AD92" s="7" t="s">
        <v>117</v>
      </c>
      <c r="AE92" s="8">
        <v>35798007</v>
      </c>
      <c r="AF92" s="9">
        <v>38150</v>
      </c>
      <c r="AG92" s="10">
        <f t="shared" si="20"/>
        <v>2.1419009370816644E-2</v>
      </c>
      <c r="AH92" s="10">
        <f t="shared" si="21"/>
        <v>2.1192846151639744E-2</v>
      </c>
      <c r="AL92" s="5">
        <v>84</v>
      </c>
      <c r="AM92" s="7" t="s">
        <v>117</v>
      </c>
      <c r="AN92" s="8">
        <v>58492759</v>
      </c>
      <c r="AO92" s="9">
        <v>120600</v>
      </c>
      <c r="AP92" s="10">
        <f t="shared" si="22"/>
        <v>-1.3900245298446468E-2</v>
      </c>
      <c r="AQ92" s="10">
        <f t="shared" si="23"/>
        <v>-1.3997758400041627E-2</v>
      </c>
      <c r="AU92" s="5">
        <v>84</v>
      </c>
      <c r="AV92" s="7" t="s">
        <v>117</v>
      </c>
      <c r="AW92" s="8">
        <v>40000000</v>
      </c>
      <c r="AX92" s="9">
        <v>2660</v>
      </c>
      <c r="AY92" s="10">
        <f t="shared" si="24"/>
        <v>-1.1152416356877359E-2</v>
      </c>
      <c r="AZ92" s="10">
        <f t="shared" si="25"/>
        <v>-1.1215070820140068E-2</v>
      </c>
      <c r="BD92" s="5">
        <v>84</v>
      </c>
      <c r="BE92" s="7" t="s">
        <v>117</v>
      </c>
      <c r="BF92" s="8">
        <v>16068000</v>
      </c>
      <c r="BG92" s="9">
        <v>9660</v>
      </c>
      <c r="BH92" s="10">
        <f t="shared" si="26"/>
        <v>-2.2267206477732837E-2</v>
      </c>
      <c r="BI92" s="10">
        <f t="shared" si="27"/>
        <v>-2.2518863535349862E-2</v>
      </c>
    </row>
    <row r="93" spans="2:61" x14ac:dyDescent="0.4">
      <c r="B93" s="5">
        <v>85</v>
      </c>
      <c r="C93" s="7" t="s">
        <v>118</v>
      </c>
      <c r="D93" s="8">
        <v>24054799</v>
      </c>
      <c r="E93" s="9">
        <v>10420</v>
      </c>
      <c r="F93" s="10">
        <f t="shared" si="14"/>
        <v>-1.1385199240986688E-2</v>
      </c>
      <c r="G93" s="10">
        <f t="shared" si="15"/>
        <v>-1.1450506787995378E-2</v>
      </c>
      <c r="K93" s="5">
        <v>85</v>
      </c>
      <c r="L93" s="7" t="s">
        <v>118</v>
      </c>
      <c r="M93" s="8">
        <v>21929315</v>
      </c>
      <c r="N93" s="9">
        <v>12790</v>
      </c>
      <c r="O93" s="10">
        <f t="shared" si="16"/>
        <v>-2.3400936037440978E-3</v>
      </c>
      <c r="P93" s="10">
        <f t="shared" si="17"/>
        <v>-2.3428359017726073E-3</v>
      </c>
      <c r="T93" s="5">
        <v>85</v>
      </c>
      <c r="U93" s="7" t="s">
        <v>118</v>
      </c>
      <c r="V93" s="8">
        <v>26014161</v>
      </c>
      <c r="W93" s="9">
        <v>12630</v>
      </c>
      <c r="X93" s="10">
        <f t="shared" si="18"/>
        <v>1.2019230769230838E-2</v>
      </c>
      <c r="Y93" s="10">
        <f t="shared" si="19"/>
        <v>1.1947573421118202E-2</v>
      </c>
      <c r="AC93" s="5">
        <v>85</v>
      </c>
      <c r="AD93" s="7" t="s">
        <v>118</v>
      </c>
      <c r="AE93" s="8">
        <v>35798007</v>
      </c>
      <c r="AF93" s="9">
        <v>37350</v>
      </c>
      <c r="AG93" s="10">
        <f t="shared" si="20"/>
        <v>-2.9870129870129825E-2</v>
      </c>
      <c r="AH93" s="10">
        <f t="shared" si="21"/>
        <v>-3.032532971491218E-2</v>
      </c>
      <c r="AL93" s="5">
        <v>85</v>
      </c>
      <c r="AM93" s="7" t="s">
        <v>118</v>
      </c>
      <c r="AN93" s="8">
        <v>58492759</v>
      </c>
      <c r="AO93" s="9">
        <v>122300</v>
      </c>
      <c r="AP93" s="10">
        <f t="shared" si="22"/>
        <v>-4.8820179007322828E-3</v>
      </c>
      <c r="AQ93" s="10">
        <f t="shared" si="23"/>
        <v>-4.8939738788624457E-3</v>
      </c>
      <c r="AU93" s="5">
        <v>85</v>
      </c>
      <c r="AV93" s="7" t="s">
        <v>118</v>
      </c>
      <c r="AW93" s="8">
        <v>40000000</v>
      </c>
      <c r="AX93" s="9">
        <v>2690</v>
      </c>
      <c r="AY93" s="10">
        <f t="shared" si="24"/>
        <v>-1.46520146520146E-2</v>
      </c>
      <c r="AZ93" s="10">
        <f t="shared" si="25"/>
        <v>-1.4760415583120573E-2</v>
      </c>
      <c r="BD93" s="5">
        <v>85</v>
      </c>
      <c r="BE93" s="7" t="s">
        <v>118</v>
      </c>
      <c r="BF93" s="8">
        <v>16068000</v>
      </c>
      <c r="BG93" s="9">
        <v>9880</v>
      </c>
      <c r="BH93" s="10">
        <f t="shared" si="26"/>
        <v>-4.0322580645161255E-3</v>
      </c>
      <c r="BI93" s="10">
        <f t="shared" si="27"/>
        <v>-4.0404095370049744E-3</v>
      </c>
    </row>
    <row r="94" spans="2:61" x14ac:dyDescent="0.4">
      <c r="B94" s="5">
        <v>86</v>
      </c>
      <c r="C94" s="7" t="s">
        <v>119</v>
      </c>
      <c r="D94" s="8">
        <v>24054799</v>
      </c>
      <c r="E94" s="9">
        <v>10540</v>
      </c>
      <c r="F94" s="10">
        <f t="shared" si="14"/>
        <v>1.4436958614052031E-2</v>
      </c>
      <c r="G94" s="10">
        <f t="shared" si="15"/>
        <v>1.43337380020803E-2</v>
      </c>
      <c r="K94" s="5">
        <v>86</v>
      </c>
      <c r="L94" s="7" t="s">
        <v>119</v>
      </c>
      <c r="M94" s="8">
        <v>21929315</v>
      </c>
      <c r="N94" s="9">
        <v>12820</v>
      </c>
      <c r="O94" s="10">
        <f t="shared" si="16"/>
        <v>6.2794348508634634E-3</v>
      </c>
      <c r="P94" s="10">
        <f t="shared" si="17"/>
        <v>6.2598013485067345E-3</v>
      </c>
      <c r="T94" s="5">
        <v>86</v>
      </c>
      <c r="U94" s="7" t="s">
        <v>119</v>
      </c>
      <c r="V94" s="8">
        <v>26014161</v>
      </c>
      <c r="W94" s="9">
        <v>12480</v>
      </c>
      <c r="X94" s="10">
        <f t="shared" si="18"/>
        <v>0.10247349823321561</v>
      </c>
      <c r="Y94" s="10">
        <f t="shared" si="19"/>
        <v>9.7556290166244786E-2</v>
      </c>
      <c r="AC94" s="5">
        <v>86</v>
      </c>
      <c r="AD94" s="7" t="s">
        <v>119</v>
      </c>
      <c r="AE94" s="8">
        <v>35798007</v>
      </c>
      <c r="AF94" s="9">
        <v>38500</v>
      </c>
      <c r="AG94" s="10">
        <f t="shared" si="20"/>
        <v>-1.0282776349614386E-2</v>
      </c>
      <c r="AH94" s="10">
        <f t="shared" si="21"/>
        <v>-1.033600933066206E-2</v>
      </c>
      <c r="AL94" s="5">
        <v>86</v>
      </c>
      <c r="AM94" s="7" t="s">
        <v>119</v>
      </c>
      <c r="AN94" s="8">
        <v>58492759</v>
      </c>
      <c r="AO94" s="9">
        <v>122900</v>
      </c>
      <c r="AP94" s="10">
        <f t="shared" si="22"/>
        <v>5.7283142389525921E-3</v>
      </c>
      <c r="AQ94" s="10">
        <f t="shared" si="23"/>
        <v>5.7119698344942436E-3</v>
      </c>
      <c r="AU94" s="5">
        <v>86</v>
      </c>
      <c r="AV94" s="7" t="s">
        <v>119</v>
      </c>
      <c r="AW94" s="8">
        <v>40000000</v>
      </c>
      <c r="AX94" s="9">
        <v>2730</v>
      </c>
      <c r="AY94" s="10">
        <f t="shared" si="24"/>
        <v>1.6759776536312776E-2</v>
      </c>
      <c r="AZ94" s="10">
        <f t="shared" si="25"/>
        <v>1.6620881236040282E-2</v>
      </c>
      <c r="BD94" s="5">
        <v>86</v>
      </c>
      <c r="BE94" s="7" t="s">
        <v>119</v>
      </c>
      <c r="BF94" s="8">
        <v>16068000</v>
      </c>
      <c r="BG94" s="9">
        <v>9920</v>
      </c>
      <c r="BH94" s="10">
        <f t="shared" si="26"/>
        <v>8.1300813008129413E-3</v>
      </c>
      <c r="BI94" s="10">
        <f t="shared" si="27"/>
        <v>8.0972102326193028E-3</v>
      </c>
    </row>
    <row r="95" spans="2:61" x14ac:dyDescent="0.4">
      <c r="B95" s="5">
        <v>87</v>
      </c>
      <c r="C95" s="7" t="s">
        <v>120</v>
      </c>
      <c r="D95" s="8">
        <v>24054799</v>
      </c>
      <c r="E95" s="9">
        <v>10390</v>
      </c>
      <c r="F95" s="10">
        <f t="shared" si="14"/>
        <v>-1.1417697431018059E-2</v>
      </c>
      <c r="G95" s="10">
        <f t="shared" si="15"/>
        <v>-1.1483379777723714E-2</v>
      </c>
      <c r="K95" s="5">
        <v>87</v>
      </c>
      <c r="L95" s="7" t="s">
        <v>120</v>
      </c>
      <c r="M95" s="8">
        <v>21929315</v>
      </c>
      <c r="N95" s="9">
        <v>12740</v>
      </c>
      <c r="O95" s="10">
        <f t="shared" si="16"/>
        <v>-1.6975308641975273E-2</v>
      </c>
      <c r="P95" s="10">
        <f t="shared" si="17"/>
        <v>-1.7121040780111313E-2</v>
      </c>
      <c r="T95" s="5">
        <v>87</v>
      </c>
      <c r="U95" s="7" t="s">
        <v>120</v>
      </c>
      <c r="V95" s="8">
        <v>26014161</v>
      </c>
      <c r="W95" s="9">
        <v>11320</v>
      </c>
      <c r="X95" s="10">
        <f t="shared" si="18"/>
        <v>3.4734917733089565E-2</v>
      </c>
      <c r="Y95" s="10">
        <f t="shared" si="19"/>
        <v>3.4145275781201717E-2</v>
      </c>
      <c r="AC95" s="5">
        <v>87</v>
      </c>
      <c r="AD95" s="7" t="s">
        <v>120</v>
      </c>
      <c r="AE95" s="8">
        <v>35798007</v>
      </c>
      <c r="AF95" s="9">
        <v>38900</v>
      </c>
      <c r="AG95" s="10">
        <f t="shared" si="20"/>
        <v>-6.3856960408684715E-3</v>
      </c>
      <c r="AH95" s="10">
        <f t="shared" si="21"/>
        <v>-6.4061718124115161E-3</v>
      </c>
      <c r="AL95" s="5">
        <v>87</v>
      </c>
      <c r="AM95" s="7" t="s">
        <v>120</v>
      </c>
      <c r="AN95" s="8">
        <v>58492759</v>
      </c>
      <c r="AO95" s="9">
        <v>122200</v>
      </c>
      <c r="AP95" s="10">
        <f t="shared" si="22"/>
        <v>-1.6339869281045694E-3</v>
      </c>
      <c r="AQ95" s="10">
        <f t="shared" si="23"/>
        <v>-1.6353233407307532E-3</v>
      </c>
      <c r="AU95" s="5">
        <v>87</v>
      </c>
      <c r="AV95" s="7" t="s">
        <v>120</v>
      </c>
      <c r="AW95" s="8">
        <v>40000000</v>
      </c>
      <c r="AX95" s="9">
        <v>2685</v>
      </c>
      <c r="AY95" s="10">
        <f t="shared" si="24"/>
        <v>1.8656716417910779E-3</v>
      </c>
      <c r="AZ95" s="10">
        <f t="shared" si="25"/>
        <v>1.8639334380627327E-3</v>
      </c>
      <c r="BD95" s="5">
        <v>87</v>
      </c>
      <c r="BE95" s="7" t="s">
        <v>120</v>
      </c>
      <c r="BF95" s="8">
        <v>16068000</v>
      </c>
      <c r="BG95" s="9">
        <v>9840</v>
      </c>
      <c r="BH95" s="10">
        <f t="shared" si="26"/>
        <v>-2.0283975659228792E-3</v>
      </c>
      <c r="BI95" s="10">
        <f t="shared" si="27"/>
        <v>-2.0304575503819517E-3</v>
      </c>
    </row>
    <row r="96" spans="2:61" x14ac:dyDescent="0.4">
      <c r="B96" s="5">
        <v>88</v>
      </c>
      <c r="C96" s="7" t="s">
        <v>121</v>
      </c>
      <c r="D96" s="8">
        <v>24054799</v>
      </c>
      <c r="E96" s="9">
        <v>10510</v>
      </c>
      <c r="F96" s="10">
        <f t="shared" si="14"/>
        <v>1.0576923076923039E-2</v>
      </c>
      <c r="G96" s="10">
        <f t="shared" si="15"/>
        <v>1.0521378741532739E-2</v>
      </c>
      <c r="K96" s="5">
        <v>88</v>
      </c>
      <c r="L96" s="7" t="s">
        <v>121</v>
      </c>
      <c r="M96" s="8">
        <v>21929315</v>
      </c>
      <c r="N96" s="9">
        <v>12960</v>
      </c>
      <c r="O96" s="10">
        <f t="shared" si="16"/>
        <v>1.0132501948558081E-2</v>
      </c>
      <c r="P96" s="10">
        <f t="shared" si="17"/>
        <v>1.008151229658359E-2</v>
      </c>
      <c r="T96" s="5">
        <v>88</v>
      </c>
      <c r="U96" s="7" t="s">
        <v>121</v>
      </c>
      <c r="V96" s="8">
        <v>26014161</v>
      </c>
      <c r="W96" s="9">
        <v>10940</v>
      </c>
      <c r="X96" s="10">
        <f t="shared" si="18"/>
        <v>-4.2869641294838168E-2</v>
      </c>
      <c r="Y96" s="10">
        <f t="shared" si="19"/>
        <v>-4.3815680812884165E-2</v>
      </c>
      <c r="AC96" s="5">
        <v>88</v>
      </c>
      <c r="AD96" s="7" t="s">
        <v>121</v>
      </c>
      <c r="AE96" s="8">
        <v>35798007</v>
      </c>
      <c r="AF96" s="9">
        <v>39150</v>
      </c>
      <c r="AG96" s="10">
        <f t="shared" si="20"/>
        <v>5.3835800807537026E-2</v>
      </c>
      <c r="AH96" s="10">
        <f t="shared" si="21"/>
        <v>5.2436651273043949E-2</v>
      </c>
      <c r="AL96" s="5">
        <v>88</v>
      </c>
      <c r="AM96" s="7" t="s">
        <v>121</v>
      </c>
      <c r="AN96" s="8">
        <v>58492759</v>
      </c>
      <c r="AO96" s="9">
        <v>122400</v>
      </c>
      <c r="AP96" s="10">
        <f t="shared" si="22"/>
        <v>-1.2106537530266359E-2</v>
      </c>
      <c r="AQ96" s="10">
        <f t="shared" si="23"/>
        <v>-1.2180418556871072E-2</v>
      </c>
      <c r="AU96" s="5">
        <v>88</v>
      </c>
      <c r="AV96" s="7" t="s">
        <v>121</v>
      </c>
      <c r="AW96" s="8">
        <v>40000000</v>
      </c>
      <c r="AX96" s="9">
        <v>2680</v>
      </c>
      <c r="AY96" s="10">
        <f t="shared" si="24"/>
        <v>3.7453183520599342E-3</v>
      </c>
      <c r="AZ96" s="10">
        <f t="shared" si="25"/>
        <v>3.7383221106071581E-3</v>
      </c>
      <c r="BD96" s="5">
        <v>88</v>
      </c>
      <c r="BE96" s="7" t="s">
        <v>121</v>
      </c>
      <c r="BF96" s="8">
        <v>16068000</v>
      </c>
      <c r="BG96" s="9">
        <v>9860</v>
      </c>
      <c r="BH96" s="10">
        <f t="shared" si="26"/>
        <v>-8.0482897384306362E-3</v>
      </c>
      <c r="BI96" s="10">
        <f t="shared" si="27"/>
        <v>-8.0808520539386725E-3</v>
      </c>
    </row>
    <row r="97" spans="2:61" x14ac:dyDescent="0.4">
      <c r="B97" s="5">
        <v>89</v>
      </c>
      <c r="C97" s="7" t="s">
        <v>122</v>
      </c>
      <c r="D97" s="8">
        <v>24054799</v>
      </c>
      <c r="E97" s="9">
        <v>10400</v>
      </c>
      <c r="F97" s="10">
        <f t="shared" si="14"/>
        <v>9.6246390760357237E-4</v>
      </c>
      <c r="G97" s="10">
        <f t="shared" si="15"/>
        <v>9.6200103619106293E-4</v>
      </c>
      <c r="K97" s="5">
        <v>89</v>
      </c>
      <c r="L97" s="7" t="s">
        <v>122</v>
      </c>
      <c r="M97" s="8">
        <v>21929315</v>
      </c>
      <c r="N97" s="9">
        <v>12830</v>
      </c>
      <c r="O97" s="10">
        <f t="shared" si="16"/>
        <v>-1.1556240369799742E-2</v>
      </c>
      <c r="P97" s="10">
        <f t="shared" si="17"/>
        <v>-1.1623532648398927E-2</v>
      </c>
      <c r="T97" s="5">
        <v>89</v>
      </c>
      <c r="U97" s="7" t="s">
        <v>122</v>
      </c>
      <c r="V97" s="8">
        <v>26014161</v>
      </c>
      <c r="W97" s="9">
        <v>11430</v>
      </c>
      <c r="X97" s="10">
        <f t="shared" si="18"/>
        <v>1.5097690941385356E-2</v>
      </c>
      <c r="Y97" s="10">
        <f t="shared" si="19"/>
        <v>1.4984855095174885E-2</v>
      </c>
      <c r="AC97" s="5">
        <v>89</v>
      </c>
      <c r="AD97" s="7" t="s">
        <v>122</v>
      </c>
      <c r="AE97" s="8">
        <v>35798007</v>
      </c>
      <c r="AF97" s="9">
        <v>37150</v>
      </c>
      <c r="AG97" s="10">
        <f t="shared" si="20"/>
        <v>5.412719891745521E-3</v>
      </c>
      <c r="AH97" s="10">
        <f t="shared" si="21"/>
        <v>5.3981237695573097E-3</v>
      </c>
      <c r="AL97" s="5">
        <v>89</v>
      </c>
      <c r="AM97" s="7" t="s">
        <v>122</v>
      </c>
      <c r="AN97" s="8">
        <v>58492759</v>
      </c>
      <c r="AO97" s="9">
        <v>123900</v>
      </c>
      <c r="AP97" s="10">
        <f t="shared" si="22"/>
        <v>1.4742014742014753E-2</v>
      </c>
      <c r="AQ97" s="10">
        <f t="shared" si="23"/>
        <v>1.4634407518437777E-2</v>
      </c>
      <c r="AU97" s="5">
        <v>89</v>
      </c>
      <c r="AV97" s="7" t="s">
        <v>122</v>
      </c>
      <c r="AW97" s="8">
        <v>40000000</v>
      </c>
      <c r="AX97" s="9">
        <v>2670</v>
      </c>
      <c r="AY97" s="10">
        <f t="shared" si="24"/>
        <v>3.759398496240518E-3</v>
      </c>
      <c r="AZ97" s="10">
        <f t="shared" si="25"/>
        <v>3.7523496185503718E-3</v>
      </c>
      <c r="BD97" s="5">
        <v>89</v>
      </c>
      <c r="BE97" s="7" t="s">
        <v>122</v>
      </c>
      <c r="BF97" s="8">
        <v>16068000</v>
      </c>
      <c r="BG97" s="9">
        <v>9940</v>
      </c>
      <c r="BH97" s="10">
        <f t="shared" si="26"/>
        <v>-8.9730807577268479E-3</v>
      </c>
      <c r="BI97" s="10">
        <f t="shared" si="27"/>
        <v>-9.0135813053615239E-3</v>
      </c>
    </row>
    <row r="98" spans="2:61" x14ac:dyDescent="0.4">
      <c r="B98" s="5">
        <v>90</v>
      </c>
      <c r="C98" s="7" t="s">
        <v>123</v>
      </c>
      <c r="D98" s="8">
        <v>24054799</v>
      </c>
      <c r="E98" s="9">
        <v>10390</v>
      </c>
      <c r="F98" s="10">
        <f t="shared" si="14"/>
        <v>1.1684518013632017E-2</v>
      </c>
      <c r="G98" s="10">
        <f t="shared" si="15"/>
        <v>1.1616781170669241E-2</v>
      </c>
      <c r="K98" s="5">
        <v>90</v>
      </c>
      <c r="L98" s="7" t="s">
        <v>123</v>
      </c>
      <c r="M98" s="8">
        <v>21929315</v>
      </c>
      <c r="N98" s="9">
        <v>12980</v>
      </c>
      <c r="O98" s="10">
        <f t="shared" si="16"/>
        <v>-1.5384615384614886E-3</v>
      </c>
      <c r="P98" s="10">
        <f t="shared" si="17"/>
        <v>-1.5396461855927501E-3</v>
      </c>
      <c r="T98" s="5">
        <v>90</v>
      </c>
      <c r="U98" s="7" t="s">
        <v>123</v>
      </c>
      <c r="V98" s="8">
        <v>26014161</v>
      </c>
      <c r="W98" s="9">
        <v>11260</v>
      </c>
      <c r="X98" s="10">
        <f t="shared" si="18"/>
        <v>-1.7730496453900457E-3</v>
      </c>
      <c r="Y98" s="10">
        <f t="shared" si="19"/>
        <v>-1.7746233583684897E-3</v>
      </c>
      <c r="AC98" s="5">
        <v>90</v>
      </c>
      <c r="AD98" s="7" t="s">
        <v>123</v>
      </c>
      <c r="AE98" s="8">
        <v>35798007</v>
      </c>
      <c r="AF98" s="9">
        <v>36950</v>
      </c>
      <c r="AG98" s="10">
        <f t="shared" si="20"/>
        <v>-1.4666666666666717E-2</v>
      </c>
      <c r="AH98" s="10">
        <f t="shared" si="21"/>
        <v>-1.4775285582154402E-2</v>
      </c>
      <c r="AL98" s="5">
        <v>90</v>
      </c>
      <c r="AM98" s="7" t="s">
        <v>123</v>
      </c>
      <c r="AN98" s="8">
        <v>58492759</v>
      </c>
      <c r="AO98" s="9">
        <v>122100</v>
      </c>
      <c r="AP98" s="10">
        <f t="shared" si="22"/>
        <v>2.4630541871921707E-3</v>
      </c>
      <c r="AQ98" s="10">
        <f t="shared" si="23"/>
        <v>2.460025840862399E-3</v>
      </c>
      <c r="AU98" s="5">
        <v>90</v>
      </c>
      <c r="AV98" s="7" t="s">
        <v>123</v>
      </c>
      <c r="AW98" s="8">
        <v>40000000</v>
      </c>
      <c r="AX98" s="9">
        <v>2660</v>
      </c>
      <c r="AY98" s="10">
        <f t="shared" si="24"/>
        <v>-5.6074766355139749E-3</v>
      </c>
      <c r="AZ98" s="10">
        <f t="shared" si="25"/>
        <v>-5.62325755436212E-3</v>
      </c>
      <c r="BD98" s="5">
        <v>90</v>
      </c>
      <c r="BE98" s="7" t="s">
        <v>123</v>
      </c>
      <c r="BF98" s="8">
        <v>16068000</v>
      </c>
      <c r="BG98" s="9">
        <v>10030</v>
      </c>
      <c r="BH98" s="10">
        <f t="shared" si="26"/>
        <v>9.9800399201588341E-4</v>
      </c>
      <c r="BI98" s="10">
        <f t="shared" si="27"/>
        <v>9.9750631712533814E-4</v>
      </c>
    </row>
    <row r="99" spans="2:61" x14ac:dyDescent="0.4">
      <c r="B99" s="5">
        <v>91</v>
      </c>
      <c r="C99" s="7" t="s">
        <v>124</v>
      </c>
      <c r="D99" s="8">
        <v>24054799</v>
      </c>
      <c r="E99" s="9">
        <v>10270</v>
      </c>
      <c r="F99" s="10">
        <f t="shared" si="14"/>
        <v>-3.3866415804327366E-2</v>
      </c>
      <c r="G99" s="10">
        <f t="shared" si="15"/>
        <v>-3.445316841338969E-2</v>
      </c>
      <c r="K99" s="5">
        <v>91</v>
      </c>
      <c r="L99" s="7" t="s">
        <v>124</v>
      </c>
      <c r="M99" s="8">
        <v>21929315</v>
      </c>
      <c r="N99" s="9">
        <v>13000</v>
      </c>
      <c r="O99" s="10">
        <f t="shared" si="16"/>
        <v>-9.9009900990099098E-3</v>
      </c>
      <c r="P99" s="10">
        <f t="shared" si="17"/>
        <v>-9.950330853168092E-3</v>
      </c>
      <c r="T99" s="5">
        <v>91</v>
      </c>
      <c r="U99" s="7" t="s">
        <v>124</v>
      </c>
      <c r="V99" s="8">
        <v>26014161</v>
      </c>
      <c r="W99" s="9">
        <v>11280</v>
      </c>
      <c r="X99" s="10">
        <f t="shared" si="18"/>
        <v>1.6216216216216273E-2</v>
      </c>
      <c r="Y99" s="10">
        <f t="shared" si="19"/>
        <v>1.6086137751624444E-2</v>
      </c>
      <c r="AC99" s="5">
        <v>91</v>
      </c>
      <c r="AD99" s="7" t="s">
        <v>124</v>
      </c>
      <c r="AE99" s="8">
        <v>35798007</v>
      </c>
      <c r="AF99" s="9">
        <v>37500</v>
      </c>
      <c r="AG99" s="10">
        <f t="shared" si="20"/>
        <v>-1.1857707509881465E-2</v>
      </c>
      <c r="AH99" s="10">
        <f t="shared" si="21"/>
        <v>-1.1928570865273845E-2</v>
      </c>
      <c r="AL99" s="5">
        <v>91</v>
      </c>
      <c r="AM99" s="7" t="s">
        <v>124</v>
      </c>
      <c r="AN99" s="8">
        <v>58492759</v>
      </c>
      <c r="AO99" s="9">
        <v>121800</v>
      </c>
      <c r="AP99" s="10">
        <f t="shared" si="22"/>
        <v>-6.525285481239762E-3</v>
      </c>
      <c r="AQ99" s="10">
        <f t="shared" si="23"/>
        <v>-6.546668226314333E-3</v>
      </c>
      <c r="AU99" s="5">
        <v>91</v>
      </c>
      <c r="AV99" s="7" t="s">
        <v>124</v>
      </c>
      <c r="AW99" s="8">
        <v>40000000</v>
      </c>
      <c r="AX99" s="9">
        <v>2675</v>
      </c>
      <c r="AY99" s="10">
        <f t="shared" si="24"/>
        <v>-9.2592592592593004E-3</v>
      </c>
      <c r="AZ99" s="10">
        <f t="shared" si="25"/>
        <v>-9.3023926623135612E-3</v>
      </c>
      <c r="BD99" s="5">
        <v>91</v>
      </c>
      <c r="BE99" s="7" t="s">
        <v>124</v>
      </c>
      <c r="BF99" s="8">
        <v>16068000</v>
      </c>
      <c r="BG99" s="9">
        <v>10020</v>
      </c>
      <c r="BH99" s="10">
        <f t="shared" si="26"/>
        <v>-2.3391812865497075E-2</v>
      </c>
      <c r="BI99" s="10">
        <f t="shared" si="27"/>
        <v>-2.3669744085904734E-2</v>
      </c>
    </row>
    <row r="100" spans="2:61" x14ac:dyDescent="0.4">
      <c r="B100" s="5">
        <v>92</v>
      </c>
      <c r="C100" s="7" t="s">
        <v>125</v>
      </c>
      <c r="D100" s="8">
        <v>24054799</v>
      </c>
      <c r="E100" s="9">
        <v>10630</v>
      </c>
      <c r="F100" s="10">
        <f t="shared" si="14"/>
        <v>2.8301886792452269E-3</v>
      </c>
      <c r="G100" s="10">
        <f t="shared" si="15"/>
        <v>2.8261912358350447E-3</v>
      </c>
      <c r="K100" s="5">
        <v>92</v>
      </c>
      <c r="L100" s="7" t="s">
        <v>125</v>
      </c>
      <c r="M100" s="8">
        <v>21929315</v>
      </c>
      <c r="N100" s="9">
        <v>13130</v>
      </c>
      <c r="O100" s="10">
        <f t="shared" si="16"/>
        <v>3.0557677616500634E-3</v>
      </c>
      <c r="P100" s="10">
        <f t="shared" si="17"/>
        <v>3.0511083928962063E-3</v>
      </c>
      <c r="T100" s="5">
        <v>92</v>
      </c>
      <c r="U100" s="7" t="s">
        <v>125</v>
      </c>
      <c r="V100" s="8">
        <v>26014161</v>
      </c>
      <c r="W100" s="9">
        <v>11100</v>
      </c>
      <c r="X100" s="10">
        <f t="shared" si="18"/>
        <v>9.9009900990099098E-2</v>
      </c>
      <c r="Y100" s="10">
        <f t="shared" si="19"/>
        <v>9.440968447107477E-2</v>
      </c>
      <c r="AC100" s="5">
        <v>92</v>
      </c>
      <c r="AD100" s="7" t="s">
        <v>125</v>
      </c>
      <c r="AE100" s="8">
        <v>35798007</v>
      </c>
      <c r="AF100" s="9">
        <v>37950</v>
      </c>
      <c r="AG100" s="10">
        <f t="shared" si="20"/>
        <v>4.4016506189821225E-2</v>
      </c>
      <c r="AH100" s="10">
        <f t="shared" si="21"/>
        <v>4.3075299862110603E-2</v>
      </c>
      <c r="AL100" s="5">
        <v>92</v>
      </c>
      <c r="AM100" s="7" t="s">
        <v>125</v>
      </c>
      <c r="AN100" s="8">
        <v>58492759</v>
      </c>
      <c r="AO100" s="9">
        <v>122600</v>
      </c>
      <c r="AP100" s="10">
        <f t="shared" si="22"/>
        <v>0</v>
      </c>
      <c r="AQ100" s="10">
        <f t="shared" si="23"/>
        <v>0</v>
      </c>
      <c r="AU100" s="5">
        <v>92</v>
      </c>
      <c r="AV100" s="7" t="s">
        <v>125</v>
      </c>
      <c r="AW100" s="8">
        <v>40000000</v>
      </c>
      <c r="AX100" s="9">
        <v>2700</v>
      </c>
      <c r="AY100" s="10">
        <f t="shared" si="24"/>
        <v>3.7174721189590088E-3</v>
      </c>
      <c r="AZ100" s="10">
        <f t="shared" si="25"/>
        <v>3.7105793965355534E-3</v>
      </c>
      <c r="BD100" s="5">
        <v>92</v>
      </c>
      <c r="BE100" s="7" t="s">
        <v>125</v>
      </c>
      <c r="BF100" s="8">
        <v>16068000</v>
      </c>
      <c r="BG100" s="9">
        <v>10260</v>
      </c>
      <c r="BH100" s="10">
        <f t="shared" si="26"/>
        <v>3.9138943248533398E-3</v>
      </c>
      <c r="BI100" s="10">
        <f t="shared" si="27"/>
        <v>3.9062549670652105E-3</v>
      </c>
    </row>
    <row r="101" spans="2:61" x14ac:dyDescent="0.4">
      <c r="B101" s="5">
        <v>93</v>
      </c>
      <c r="C101" s="7" t="s">
        <v>126</v>
      </c>
      <c r="D101" s="8">
        <v>24054799</v>
      </c>
      <c r="E101" s="9">
        <v>10600</v>
      </c>
      <c r="F101" s="10">
        <f t="shared" si="14"/>
        <v>-1.3035381750465591E-2</v>
      </c>
      <c r="G101" s="10">
        <f t="shared" si="15"/>
        <v>-1.3121087962697212E-2</v>
      </c>
      <c r="K101" s="5">
        <v>93</v>
      </c>
      <c r="L101" s="7" t="s">
        <v>126</v>
      </c>
      <c r="M101" s="8">
        <v>21929315</v>
      </c>
      <c r="N101" s="9">
        <v>13090</v>
      </c>
      <c r="O101" s="10">
        <f t="shared" si="16"/>
        <v>1.3157894736842035E-2</v>
      </c>
      <c r="P101" s="10">
        <f t="shared" si="17"/>
        <v>1.3072081567352701E-2</v>
      </c>
      <c r="T101" s="5">
        <v>93</v>
      </c>
      <c r="U101" s="7" t="s">
        <v>126</v>
      </c>
      <c r="V101" s="8">
        <v>26014161</v>
      </c>
      <c r="W101" s="9">
        <v>10100</v>
      </c>
      <c r="X101" s="10">
        <f t="shared" si="18"/>
        <v>-7.8585461689587577E-3</v>
      </c>
      <c r="Y101" s="10">
        <f t="shared" si="19"/>
        <v>-7.8895872751629324E-3</v>
      </c>
      <c r="AC101" s="5">
        <v>93</v>
      </c>
      <c r="AD101" s="7" t="s">
        <v>126</v>
      </c>
      <c r="AE101" s="8">
        <v>35798007</v>
      </c>
      <c r="AF101" s="9">
        <v>36350</v>
      </c>
      <c r="AG101" s="10">
        <f t="shared" si="20"/>
        <v>0</v>
      </c>
      <c r="AH101" s="10">
        <f t="shared" si="21"/>
        <v>0</v>
      </c>
      <c r="AL101" s="5">
        <v>93</v>
      </c>
      <c r="AM101" s="7" t="s">
        <v>126</v>
      </c>
      <c r="AN101" s="8">
        <v>58492759</v>
      </c>
      <c r="AO101" s="9">
        <v>122600</v>
      </c>
      <c r="AP101" s="10">
        <f t="shared" si="22"/>
        <v>0</v>
      </c>
      <c r="AQ101" s="10">
        <f t="shared" si="23"/>
        <v>0</v>
      </c>
      <c r="AU101" s="5">
        <v>93</v>
      </c>
      <c r="AV101" s="7" t="s">
        <v>126</v>
      </c>
      <c r="AW101" s="8">
        <v>40000000</v>
      </c>
      <c r="AX101" s="9">
        <v>2690</v>
      </c>
      <c r="AY101" s="10">
        <f t="shared" si="24"/>
        <v>-1.8248175182481785E-2</v>
      </c>
      <c r="AZ101" s="10">
        <f t="shared" si="25"/>
        <v>-1.8416726786231151E-2</v>
      </c>
      <c r="BD101" s="5">
        <v>93</v>
      </c>
      <c r="BE101" s="7" t="s">
        <v>126</v>
      </c>
      <c r="BF101" s="8">
        <v>16068000</v>
      </c>
      <c r="BG101" s="9">
        <v>10220</v>
      </c>
      <c r="BH101" s="10">
        <f t="shared" si="26"/>
        <v>3.9292730844793233E-3</v>
      </c>
      <c r="BI101" s="10">
        <f t="shared" si="27"/>
        <v>3.9215736531816436E-3</v>
      </c>
    </row>
    <row r="102" spans="2:61" x14ac:dyDescent="0.4">
      <c r="B102" s="5">
        <v>94</v>
      </c>
      <c r="C102" s="7" t="s">
        <v>127</v>
      </c>
      <c r="D102" s="8">
        <v>24054799</v>
      </c>
      <c r="E102" s="9">
        <v>10740</v>
      </c>
      <c r="F102" s="10">
        <f t="shared" si="14"/>
        <v>-4.1071428571428537E-2</v>
      </c>
      <c r="G102" s="10">
        <f t="shared" si="15"/>
        <v>-4.1938689220330193E-2</v>
      </c>
      <c r="K102" s="5">
        <v>94</v>
      </c>
      <c r="L102" s="7" t="s">
        <v>127</v>
      </c>
      <c r="M102" s="8">
        <v>21929315</v>
      </c>
      <c r="N102" s="9">
        <v>12920</v>
      </c>
      <c r="O102" s="10">
        <f t="shared" si="16"/>
        <v>-3.7974683544303778E-2</v>
      </c>
      <c r="P102" s="10">
        <f t="shared" si="17"/>
        <v>-3.8714512180690393E-2</v>
      </c>
      <c r="T102" s="5">
        <v>94</v>
      </c>
      <c r="U102" s="7" t="s">
        <v>127</v>
      </c>
      <c r="V102" s="8">
        <v>26014161</v>
      </c>
      <c r="W102" s="9">
        <v>10180</v>
      </c>
      <c r="X102" s="10">
        <f t="shared" si="18"/>
        <v>-2.8625954198473247E-2</v>
      </c>
      <c r="Y102" s="10">
        <f t="shared" si="19"/>
        <v>-2.9043667770519383E-2</v>
      </c>
      <c r="AC102" s="5">
        <v>94</v>
      </c>
      <c r="AD102" s="7" t="s">
        <v>127</v>
      </c>
      <c r="AE102" s="8">
        <v>35798007</v>
      </c>
      <c r="AF102" s="9">
        <v>36350</v>
      </c>
      <c r="AG102" s="10">
        <f t="shared" si="20"/>
        <v>-5.4719562243502606E-3</v>
      </c>
      <c r="AH102" s="10">
        <f t="shared" si="21"/>
        <v>-5.4869822162591933E-3</v>
      </c>
      <c r="AL102" s="5">
        <v>94</v>
      </c>
      <c r="AM102" s="7" t="s">
        <v>127</v>
      </c>
      <c r="AN102" s="8">
        <v>58492759</v>
      </c>
      <c r="AO102" s="9">
        <v>122600</v>
      </c>
      <c r="AP102" s="10">
        <f t="shared" si="22"/>
        <v>-3.1595576619273258E-2</v>
      </c>
      <c r="AQ102" s="10">
        <f t="shared" si="23"/>
        <v>-3.2105486207964745E-2</v>
      </c>
      <c r="AU102" s="5">
        <v>94</v>
      </c>
      <c r="AV102" s="7" t="s">
        <v>127</v>
      </c>
      <c r="AW102" s="8">
        <v>40000000</v>
      </c>
      <c r="AX102" s="9">
        <v>2740</v>
      </c>
      <c r="AY102" s="10">
        <f t="shared" si="24"/>
        <v>-1.7921146953404965E-2</v>
      </c>
      <c r="AZ102" s="10">
        <f t="shared" si="25"/>
        <v>-1.8083675433295351E-2</v>
      </c>
      <c r="BD102" s="5">
        <v>94</v>
      </c>
      <c r="BE102" s="7" t="s">
        <v>127</v>
      </c>
      <c r="BF102" s="8">
        <v>16068000</v>
      </c>
      <c r="BG102" s="9">
        <v>10180</v>
      </c>
      <c r="BH102" s="10">
        <f t="shared" si="26"/>
        <v>-2.6768642447418722E-2</v>
      </c>
      <c r="BI102" s="10">
        <f t="shared" si="27"/>
        <v>-2.7133447514400142E-2</v>
      </c>
    </row>
    <row r="103" spans="2:61" x14ac:dyDescent="0.4">
      <c r="B103" s="5">
        <v>95</v>
      </c>
      <c r="C103" s="7" t="s">
        <v>128</v>
      </c>
      <c r="D103" s="8">
        <v>24054799</v>
      </c>
      <c r="E103" s="9">
        <v>11200</v>
      </c>
      <c r="F103" s="10">
        <f t="shared" si="14"/>
        <v>-3.5314384151593492E-2</v>
      </c>
      <c r="G103" s="10">
        <f t="shared" si="15"/>
        <v>-3.5953017408751307E-2</v>
      </c>
      <c r="K103" s="5">
        <v>95</v>
      </c>
      <c r="L103" s="7" t="s">
        <v>128</v>
      </c>
      <c r="M103" s="8">
        <v>21929315</v>
      </c>
      <c r="N103" s="9">
        <v>13430</v>
      </c>
      <c r="O103" s="10">
        <f t="shared" si="16"/>
        <v>-9.587020648967548E-3</v>
      </c>
      <c r="P103" s="10">
        <f t="shared" si="17"/>
        <v>-9.6332719771033016E-3</v>
      </c>
      <c r="T103" s="5">
        <v>95</v>
      </c>
      <c r="U103" s="7" t="s">
        <v>128</v>
      </c>
      <c r="V103" s="8">
        <v>26014161</v>
      </c>
      <c r="W103" s="9">
        <v>10480</v>
      </c>
      <c r="X103" s="10">
        <f t="shared" si="18"/>
        <v>-7.2566371681415887E-2</v>
      </c>
      <c r="Y103" s="10">
        <f t="shared" si="19"/>
        <v>-7.5334046825398737E-2</v>
      </c>
      <c r="AC103" s="5">
        <v>95</v>
      </c>
      <c r="AD103" s="7" t="s">
        <v>128</v>
      </c>
      <c r="AE103" s="8">
        <v>35798007</v>
      </c>
      <c r="AF103" s="9">
        <v>36550</v>
      </c>
      <c r="AG103" s="10">
        <f t="shared" si="20"/>
        <v>-8.141112618724522E-3</v>
      </c>
      <c r="AH103" s="10">
        <f t="shared" si="21"/>
        <v>-8.1744324395580624E-3</v>
      </c>
      <c r="AL103" s="5">
        <v>95</v>
      </c>
      <c r="AM103" s="7" t="s">
        <v>128</v>
      </c>
      <c r="AN103" s="8">
        <v>58492759</v>
      </c>
      <c r="AO103" s="9">
        <v>126600</v>
      </c>
      <c r="AP103" s="10">
        <f t="shared" si="22"/>
        <v>-1.7080745341614856E-2</v>
      </c>
      <c r="AQ103" s="10">
        <f t="shared" si="23"/>
        <v>-1.7228303960177375E-2</v>
      </c>
      <c r="AU103" s="5">
        <v>95</v>
      </c>
      <c r="AV103" s="7" t="s">
        <v>128</v>
      </c>
      <c r="AW103" s="8">
        <v>40000000</v>
      </c>
      <c r="AX103" s="9">
        <v>2790</v>
      </c>
      <c r="AY103" s="10">
        <f t="shared" si="24"/>
        <v>-3.4602076124567449E-2</v>
      </c>
      <c r="AZ103" s="10">
        <f t="shared" si="25"/>
        <v>-3.5214906291066508E-2</v>
      </c>
      <c r="BD103" s="5">
        <v>95</v>
      </c>
      <c r="BE103" s="7" t="s">
        <v>128</v>
      </c>
      <c r="BF103" s="8">
        <v>16068000</v>
      </c>
      <c r="BG103" s="9">
        <v>10460</v>
      </c>
      <c r="BH103" s="10">
        <f t="shared" si="26"/>
        <v>-3.771849126034954E-2</v>
      </c>
      <c r="BI103" s="10">
        <f t="shared" si="27"/>
        <v>-3.8448242496341184E-2</v>
      </c>
    </row>
    <row r="104" spans="2:61" x14ac:dyDescent="0.4">
      <c r="B104" s="5">
        <v>96</v>
      </c>
      <c r="C104" s="7" t="s">
        <v>129</v>
      </c>
      <c r="D104" s="8">
        <v>24054799</v>
      </c>
      <c r="E104" s="9">
        <v>11610</v>
      </c>
      <c r="F104" s="10">
        <f t="shared" si="14"/>
        <v>-7.692307692307665E-3</v>
      </c>
      <c r="G104" s="10">
        <f t="shared" si="15"/>
        <v>-7.7220460939102778E-3</v>
      </c>
      <c r="K104" s="5">
        <v>96</v>
      </c>
      <c r="L104" s="7" t="s">
        <v>129</v>
      </c>
      <c r="M104" s="8">
        <v>21929315</v>
      </c>
      <c r="N104" s="9">
        <v>13560</v>
      </c>
      <c r="O104" s="10">
        <f t="shared" si="16"/>
        <v>-5.8651026392961825E-3</v>
      </c>
      <c r="P104" s="10">
        <f t="shared" si="17"/>
        <v>-5.8823699030665245E-3</v>
      </c>
      <c r="T104" s="5">
        <v>96</v>
      </c>
      <c r="U104" s="7" t="s">
        <v>129</v>
      </c>
      <c r="V104" s="8">
        <v>26014161</v>
      </c>
      <c r="W104" s="9">
        <v>11300</v>
      </c>
      <c r="X104" s="10">
        <f t="shared" si="18"/>
        <v>7.2106261859582466E-2</v>
      </c>
      <c r="Y104" s="10">
        <f t="shared" si="19"/>
        <v>6.9625182605078551E-2</v>
      </c>
      <c r="AC104" s="5">
        <v>96</v>
      </c>
      <c r="AD104" s="7" t="s">
        <v>129</v>
      </c>
      <c r="AE104" s="8">
        <v>35798007</v>
      </c>
      <c r="AF104" s="9">
        <v>36850</v>
      </c>
      <c r="AG104" s="10">
        <f t="shared" si="20"/>
        <v>-6.7385444743934819E-3</v>
      </c>
      <c r="AH104" s="10">
        <f t="shared" si="21"/>
        <v>-6.7613509780437954E-3</v>
      </c>
      <c r="AL104" s="5">
        <v>96</v>
      </c>
      <c r="AM104" s="7" t="s">
        <v>129</v>
      </c>
      <c r="AN104" s="8">
        <v>58492759</v>
      </c>
      <c r="AO104" s="9">
        <v>128800</v>
      </c>
      <c r="AP104" s="10">
        <f t="shared" si="22"/>
        <v>-1.0752688172043001E-2</v>
      </c>
      <c r="AQ104" s="10">
        <f t="shared" si="23"/>
        <v>-1.0810916104215617E-2</v>
      </c>
      <c r="AU104" s="5">
        <v>96</v>
      </c>
      <c r="AV104" s="7" t="s">
        <v>129</v>
      </c>
      <c r="AW104" s="8">
        <v>40000000</v>
      </c>
      <c r="AX104" s="9">
        <v>2890</v>
      </c>
      <c r="AY104" s="10">
        <f t="shared" si="24"/>
        <v>0</v>
      </c>
      <c r="AZ104" s="10">
        <f t="shared" si="25"/>
        <v>0</v>
      </c>
      <c r="BD104" s="5">
        <v>96</v>
      </c>
      <c r="BE104" s="7" t="s">
        <v>129</v>
      </c>
      <c r="BF104" s="8">
        <v>16068000</v>
      </c>
      <c r="BG104" s="9">
        <v>10870</v>
      </c>
      <c r="BH104" s="10">
        <f t="shared" si="26"/>
        <v>-3.4635879218472443E-2</v>
      </c>
      <c r="BI104" s="10">
        <f t="shared" si="27"/>
        <v>-3.524992157842622E-2</v>
      </c>
    </row>
    <row r="105" spans="2:61" x14ac:dyDescent="0.4">
      <c r="B105" s="5">
        <v>97</v>
      </c>
      <c r="C105" s="7" t="s">
        <v>130</v>
      </c>
      <c r="D105" s="8">
        <v>24054799</v>
      </c>
      <c r="E105" s="9">
        <v>11700</v>
      </c>
      <c r="F105" s="10">
        <f t="shared" si="14"/>
        <v>3.9076376554174175E-2</v>
      </c>
      <c r="G105" s="10">
        <f t="shared" si="15"/>
        <v>3.8332219092166213E-2</v>
      </c>
      <c r="K105" s="5">
        <v>97</v>
      </c>
      <c r="L105" s="7" t="s">
        <v>130</v>
      </c>
      <c r="M105" s="8">
        <v>21929315</v>
      </c>
      <c r="N105" s="9">
        <v>13640</v>
      </c>
      <c r="O105" s="10">
        <f t="shared" si="16"/>
        <v>4.4182621502208974E-3</v>
      </c>
      <c r="P105" s="10">
        <f t="shared" si="17"/>
        <v>4.4085302847659564E-3</v>
      </c>
      <c r="T105" s="5">
        <v>97</v>
      </c>
      <c r="U105" s="7" t="s">
        <v>130</v>
      </c>
      <c r="V105" s="8">
        <v>26014161</v>
      </c>
      <c r="W105" s="9">
        <v>10540</v>
      </c>
      <c r="X105" s="10">
        <f t="shared" si="18"/>
        <v>4.3564356435643603E-2</v>
      </c>
      <c r="Y105" s="10">
        <f t="shared" si="19"/>
        <v>4.2642119266002539E-2</v>
      </c>
      <c r="AC105" s="5">
        <v>97</v>
      </c>
      <c r="AD105" s="7" t="s">
        <v>130</v>
      </c>
      <c r="AE105" s="8">
        <v>35798007</v>
      </c>
      <c r="AF105" s="9">
        <v>37100</v>
      </c>
      <c r="AG105" s="10">
        <f t="shared" si="20"/>
        <v>3.6312849162011274E-2</v>
      </c>
      <c r="AH105" s="10">
        <f t="shared" si="21"/>
        <v>3.5669076206734929E-2</v>
      </c>
      <c r="AL105" s="5">
        <v>97</v>
      </c>
      <c r="AM105" s="7" t="s">
        <v>130</v>
      </c>
      <c r="AN105" s="8">
        <v>58492759</v>
      </c>
      <c r="AO105" s="9">
        <v>130200</v>
      </c>
      <c r="AP105" s="10">
        <f t="shared" si="22"/>
        <v>1.0869565217391353E-2</v>
      </c>
      <c r="AQ105" s="10">
        <f t="shared" si="23"/>
        <v>1.0810916104215676E-2</v>
      </c>
      <c r="AU105" s="5">
        <v>97</v>
      </c>
      <c r="AV105" s="7" t="s">
        <v>130</v>
      </c>
      <c r="AW105" s="8">
        <v>40000000</v>
      </c>
      <c r="AX105" s="9">
        <v>2890</v>
      </c>
      <c r="AY105" s="10">
        <f t="shared" si="24"/>
        <v>0</v>
      </c>
      <c r="AZ105" s="10">
        <f t="shared" si="25"/>
        <v>0</v>
      </c>
      <c r="BD105" s="5">
        <v>97</v>
      </c>
      <c r="BE105" s="7" t="s">
        <v>130</v>
      </c>
      <c r="BF105" s="8">
        <v>16068000</v>
      </c>
      <c r="BG105" s="9">
        <v>11260</v>
      </c>
      <c r="BH105" s="10">
        <f t="shared" si="26"/>
        <v>-1.2280701754386003E-2</v>
      </c>
      <c r="BI105" s="10">
        <f t="shared" si="27"/>
        <v>-1.2356732688905492E-2</v>
      </c>
    </row>
    <row r="106" spans="2:61" x14ac:dyDescent="0.4">
      <c r="B106" s="5">
        <v>98</v>
      </c>
      <c r="C106" s="7" t="s">
        <v>131</v>
      </c>
      <c r="D106" s="8">
        <v>24054799</v>
      </c>
      <c r="E106" s="9">
        <v>11260</v>
      </c>
      <c r="F106" s="10">
        <f t="shared" si="14"/>
        <v>5.2336448598130803E-2</v>
      </c>
      <c r="G106" s="10">
        <f t="shared" si="15"/>
        <v>5.1012881243683798E-2</v>
      </c>
      <c r="K106" s="5">
        <v>98</v>
      </c>
      <c r="L106" s="7" t="s">
        <v>131</v>
      </c>
      <c r="M106" s="8">
        <v>21929315</v>
      </c>
      <c r="N106" s="9">
        <v>13580</v>
      </c>
      <c r="O106" s="10">
        <f t="shared" si="16"/>
        <v>2.1820917983446098E-2</v>
      </c>
      <c r="P106" s="10">
        <f t="shared" si="17"/>
        <v>2.1586249405396007E-2</v>
      </c>
      <c r="T106" s="5">
        <v>98</v>
      </c>
      <c r="U106" s="7" t="s">
        <v>131</v>
      </c>
      <c r="V106" s="8">
        <v>26014161</v>
      </c>
      <c r="W106" s="9">
        <v>10100</v>
      </c>
      <c r="X106" s="10">
        <f t="shared" si="18"/>
        <v>4.2311661506707843E-2</v>
      </c>
      <c r="Y106" s="10">
        <f t="shared" si="19"/>
        <v>4.1440997944538802E-2</v>
      </c>
      <c r="AC106" s="5">
        <v>98</v>
      </c>
      <c r="AD106" s="7" t="s">
        <v>131</v>
      </c>
      <c r="AE106" s="8">
        <v>35798007</v>
      </c>
      <c r="AF106" s="9">
        <v>35800</v>
      </c>
      <c r="AG106" s="10">
        <f t="shared" si="20"/>
        <v>2.2857142857142909E-2</v>
      </c>
      <c r="AH106" s="10">
        <f t="shared" si="21"/>
        <v>2.2599831917240992E-2</v>
      </c>
      <c r="AL106" s="5">
        <v>98</v>
      </c>
      <c r="AM106" s="7" t="s">
        <v>131</v>
      </c>
      <c r="AN106" s="8">
        <v>58492759</v>
      </c>
      <c r="AO106" s="9">
        <v>128800</v>
      </c>
      <c r="AP106" s="10">
        <f t="shared" si="22"/>
        <v>1.2578616352201255E-2</v>
      </c>
      <c r="AQ106" s="10">
        <f t="shared" si="23"/>
        <v>1.2500162764231468E-2</v>
      </c>
      <c r="AU106" s="5">
        <v>98</v>
      </c>
      <c r="AV106" s="7" t="s">
        <v>131</v>
      </c>
      <c r="AW106" s="8">
        <v>40000000</v>
      </c>
      <c r="AX106" s="9">
        <v>2890</v>
      </c>
      <c r="AY106" s="10">
        <f t="shared" si="24"/>
        <v>3.2142857142857251E-2</v>
      </c>
      <c r="AZ106" s="10">
        <f t="shared" si="25"/>
        <v>3.163708494318266E-2</v>
      </c>
      <c r="BD106" s="5">
        <v>98</v>
      </c>
      <c r="BE106" s="7" t="s">
        <v>131</v>
      </c>
      <c r="BF106" s="8">
        <v>16068000</v>
      </c>
      <c r="BG106" s="9">
        <v>11400</v>
      </c>
      <c r="BH106" s="10">
        <f t="shared" si="26"/>
        <v>9.932497589199607E-2</v>
      </c>
      <c r="BI106" s="10">
        <f t="shared" si="27"/>
        <v>9.4696333159013754E-2</v>
      </c>
    </row>
    <row r="107" spans="2:61" x14ac:dyDescent="0.4">
      <c r="B107" s="5">
        <v>99</v>
      </c>
      <c r="C107" s="7" t="s">
        <v>132</v>
      </c>
      <c r="D107" s="8">
        <v>24054799</v>
      </c>
      <c r="E107" s="9">
        <v>10700</v>
      </c>
      <c r="F107" s="10">
        <f t="shared" si="14"/>
        <v>1.5180265654648917E-2</v>
      </c>
      <c r="G107" s="10">
        <f t="shared" si="15"/>
        <v>1.5066198354644183E-2</v>
      </c>
      <c r="K107" s="5">
        <v>99</v>
      </c>
      <c r="L107" s="7" t="s">
        <v>132</v>
      </c>
      <c r="M107" s="8">
        <v>21929315</v>
      </c>
      <c r="N107" s="9">
        <v>13290</v>
      </c>
      <c r="O107" s="10">
        <f t="shared" si="16"/>
        <v>1.2185833968012094E-2</v>
      </c>
      <c r="P107" s="10">
        <f t="shared" si="17"/>
        <v>1.2112184410449051E-2</v>
      </c>
      <c r="T107" s="5">
        <v>99</v>
      </c>
      <c r="U107" s="7" t="s">
        <v>132</v>
      </c>
      <c r="V107" s="8">
        <v>26014161</v>
      </c>
      <c r="W107" s="9">
        <v>9690</v>
      </c>
      <c r="X107" s="10">
        <f t="shared" si="18"/>
        <v>6.230529595015577E-3</v>
      </c>
      <c r="Y107" s="10">
        <f t="shared" si="19"/>
        <v>6.2112000926406764E-3</v>
      </c>
      <c r="AC107" s="5">
        <v>99</v>
      </c>
      <c r="AD107" s="7" t="s">
        <v>132</v>
      </c>
      <c r="AE107" s="8">
        <v>35798007</v>
      </c>
      <c r="AF107" s="9">
        <v>35000</v>
      </c>
      <c r="AG107" s="10">
        <f t="shared" si="20"/>
        <v>-2.0979020979020935E-2</v>
      </c>
      <c r="AH107" s="10">
        <f t="shared" si="21"/>
        <v>-2.1202207650602937E-2</v>
      </c>
      <c r="AL107" s="5">
        <v>99</v>
      </c>
      <c r="AM107" s="7" t="s">
        <v>132</v>
      </c>
      <c r="AN107" s="8">
        <v>58492759</v>
      </c>
      <c r="AO107" s="9">
        <v>127200</v>
      </c>
      <c r="AP107" s="10">
        <f t="shared" si="22"/>
        <v>-1.4717273431448463E-2</v>
      </c>
      <c r="AQ107" s="10">
        <f t="shared" si="23"/>
        <v>-1.4826646946575019E-2</v>
      </c>
      <c r="AU107" s="5">
        <v>99</v>
      </c>
      <c r="AV107" s="7" t="s">
        <v>132</v>
      </c>
      <c r="AW107" s="8">
        <v>40000000</v>
      </c>
      <c r="AX107" s="9">
        <v>2800</v>
      </c>
      <c r="AY107" s="10">
        <f t="shared" si="24"/>
        <v>0</v>
      </c>
      <c r="AZ107" s="10">
        <f t="shared" si="25"/>
        <v>0</v>
      </c>
      <c r="BD107" s="5">
        <v>99</v>
      </c>
      <c r="BE107" s="7" t="s">
        <v>132</v>
      </c>
      <c r="BF107" s="8">
        <v>16068000</v>
      </c>
      <c r="BG107" s="9">
        <v>10370</v>
      </c>
      <c r="BH107" s="10">
        <f t="shared" si="26"/>
        <v>6.7961165048544547E-3</v>
      </c>
      <c r="BI107" s="10">
        <f t="shared" si="27"/>
        <v>6.7731270058459594E-3</v>
      </c>
    </row>
    <row r="108" spans="2:61" x14ac:dyDescent="0.4">
      <c r="B108" s="5">
        <v>100</v>
      </c>
      <c r="C108" s="7" t="s">
        <v>133</v>
      </c>
      <c r="D108" s="8">
        <v>24054799</v>
      </c>
      <c r="E108" s="9">
        <v>10540</v>
      </c>
      <c r="F108" s="10">
        <f t="shared" si="14"/>
        <v>1.1516314779270731E-2</v>
      </c>
      <c r="G108" s="10">
        <f t="shared" si="15"/>
        <v>1.1450506787995505E-2</v>
      </c>
      <c r="K108" s="5">
        <v>100</v>
      </c>
      <c r="L108" s="7" t="s">
        <v>133</v>
      </c>
      <c r="M108" s="8">
        <v>21929315</v>
      </c>
      <c r="N108" s="9">
        <v>13130</v>
      </c>
      <c r="O108" s="10">
        <f t="shared" si="16"/>
        <v>-7.5585789871503994E-3</v>
      </c>
      <c r="P108" s="10">
        <f t="shared" si="17"/>
        <v>-7.5872898121594808E-3</v>
      </c>
      <c r="T108" s="5">
        <v>100</v>
      </c>
      <c r="U108" s="7" t="s">
        <v>133</v>
      </c>
      <c r="V108" s="8">
        <v>26014161</v>
      </c>
      <c r="W108" s="9">
        <v>9630</v>
      </c>
      <c r="X108" s="10">
        <f t="shared" si="18"/>
        <v>2.3379383634431372E-2</v>
      </c>
      <c r="Y108" s="10">
        <f t="shared" si="19"/>
        <v>2.3110272212745839E-2</v>
      </c>
      <c r="AC108" s="5">
        <v>100</v>
      </c>
      <c r="AD108" s="7" t="s">
        <v>133</v>
      </c>
      <c r="AE108" s="8">
        <v>35798007</v>
      </c>
      <c r="AF108" s="9">
        <v>35750</v>
      </c>
      <c r="AG108" s="10">
        <f t="shared" si="20"/>
        <v>7.0422535211267512E-3</v>
      </c>
      <c r="AH108" s="10">
        <f t="shared" si="21"/>
        <v>7.0175726586465398E-3</v>
      </c>
      <c r="AL108" s="5">
        <v>100</v>
      </c>
      <c r="AM108" s="7" t="s">
        <v>133</v>
      </c>
      <c r="AN108" s="8">
        <v>58492759</v>
      </c>
      <c r="AO108" s="9">
        <v>129100</v>
      </c>
      <c r="AP108" s="10">
        <f t="shared" si="22"/>
        <v>-1.8250950570342206E-2</v>
      </c>
      <c r="AQ108" s="10">
        <f t="shared" si="23"/>
        <v>-1.8419553765222425E-2</v>
      </c>
      <c r="AU108" s="5">
        <v>100</v>
      </c>
      <c r="AV108" s="7" t="s">
        <v>133</v>
      </c>
      <c r="AW108" s="8">
        <v>40000000</v>
      </c>
      <c r="AX108" s="9">
        <v>2800</v>
      </c>
      <c r="AY108" s="10">
        <f t="shared" si="24"/>
        <v>2.1897810218978186E-2</v>
      </c>
      <c r="AZ108" s="10">
        <f t="shared" si="25"/>
        <v>2.1661496781179467E-2</v>
      </c>
      <c r="BD108" s="5">
        <v>100</v>
      </c>
      <c r="BE108" s="7" t="s">
        <v>133</v>
      </c>
      <c r="BF108" s="8">
        <v>16068000</v>
      </c>
      <c r="BG108" s="9">
        <v>10300</v>
      </c>
      <c r="BH108" s="10">
        <f t="shared" si="26"/>
        <v>5.859375E-3</v>
      </c>
      <c r="BI108" s="10">
        <f t="shared" si="27"/>
        <v>5.8422756242283609E-3</v>
      </c>
    </row>
    <row r="109" spans="2:61" x14ac:dyDescent="0.4">
      <c r="B109" s="5">
        <v>101</v>
      </c>
      <c r="C109" s="7" t="s">
        <v>134</v>
      </c>
      <c r="D109" s="8">
        <v>24054799</v>
      </c>
      <c r="E109" s="9">
        <v>10420</v>
      </c>
      <c r="F109" s="10">
        <f t="shared" si="14"/>
        <v>-4.5787545787545736E-2</v>
      </c>
      <c r="G109" s="10">
        <f t="shared" si="15"/>
        <v>-4.6868933991538068E-2</v>
      </c>
      <c r="K109" s="5">
        <v>101</v>
      </c>
      <c r="L109" s="7" t="s">
        <v>134</v>
      </c>
      <c r="M109" s="8">
        <v>21929315</v>
      </c>
      <c r="N109" s="9">
        <v>13230</v>
      </c>
      <c r="O109" s="10">
        <f t="shared" si="16"/>
        <v>-3.9215686274509776E-2</v>
      </c>
      <c r="P109" s="10">
        <f t="shared" si="17"/>
        <v>-4.000533461369913E-2</v>
      </c>
      <c r="T109" s="5">
        <v>101</v>
      </c>
      <c r="U109" s="7" t="s">
        <v>134</v>
      </c>
      <c r="V109" s="8">
        <v>26014161</v>
      </c>
      <c r="W109" s="9">
        <v>9410</v>
      </c>
      <c r="X109" s="10">
        <f t="shared" si="18"/>
        <v>-1.3626834381551323E-2</v>
      </c>
      <c r="Y109" s="10">
        <f t="shared" si="19"/>
        <v>-1.3720531862906851E-2</v>
      </c>
      <c r="AC109" s="5">
        <v>101</v>
      </c>
      <c r="AD109" s="7" t="s">
        <v>134</v>
      </c>
      <c r="AE109" s="8">
        <v>35798007</v>
      </c>
      <c r="AF109" s="9">
        <v>35500</v>
      </c>
      <c r="AG109" s="10">
        <f t="shared" si="20"/>
        <v>-1.6620498614958401E-2</v>
      </c>
      <c r="AH109" s="10">
        <f t="shared" si="21"/>
        <v>-1.6760168857465077E-2</v>
      </c>
      <c r="AL109" s="5">
        <v>101</v>
      </c>
      <c r="AM109" s="7" t="s">
        <v>134</v>
      </c>
      <c r="AN109" s="8">
        <v>58492759</v>
      </c>
      <c r="AO109" s="9">
        <v>131500</v>
      </c>
      <c r="AP109" s="10">
        <f t="shared" si="22"/>
        <v>-2.3756495916852249E-2</v>
      </c>
      <c r="AQ109" s="10">
        <f t="shared" si="23"/>
        <v>-2.4043231798499043E-2</v>
      </c>
      <c r="AU109" s="5">
        <v>101</v>
      </c>
      <c r="AV109" s="7" t="s">
        <v>134</v>
      </c>
      <c r="AW109" s="8">
        <v>40000000</v>
      </c>
      <c r="AX109" s="9">
        <v>2740</v>
      </c>
      <c r="AY109" s="10">
        <f t="shared" si="24"/>
        <v>-2.8368794326241176E-2</v>
      </c>
      <c r="AZ109" s="10">
        <f t="shared" si="25"/>
        <v>-2.8778964550043404E-2</v>
      </c>
      <c r="BD109" s="5">
        <v>101</v>
      </c>
      <c r="BE109" s="7" t="s">
        <v>134</v>
      </c>
      <c r="BF109" s="8">
        <v>16068000</v>
      </c>
      <c r="BG109" s="9">
        <v>10240</v>
      </c>
      <c r="BH109" s="10">
        <f t="shared" si="26"/>
        <v>-4.6554934823091254E-2</v>
      </c>
      <c r="BI109" s="10">
        <f t="shared" si="27"/>
        <v>-4.7673469469356911E-2</v>
      </c>
    </row>
    <row r="110" spans="2:61" x14ac:dyDescent="0.4">
      <c r="B110" s="5">
        <v>102</v>
      </c>
      <c r="C110" s="7" t="s">
        <v>135</v>
      </c>
      <c r="D110" s="8">
        <v>24054799</v>
      </c>
      <c r="E110" s="9">
        <v>10920</v>
      </c>
      <c r="F110" s="10">
        <f t="shared" si="14"/>
        <v>2.7548209366390353E-3</v>
      </c>
      <c r="G110" s="10">
        <f t="shared" si="15"/>
        <v>2.7510333718897976E-3</v>
      </c>
      <c r="K110" s="5">
        <v>102</v>
      </c>
      <c r="L110" s="7" t="s">
        <v>135</v>
      </c>
      <c r="M110" s="8">
        <v>21929315</v>
      </c>
      <c r="N110" s="9">
        <v>13770</v>
      </c>
      <c r="O110" s="10">
        <f t="shared" si="16"/>
        <v>1.2499999999999956E-2</v>
      </c>
      <c r="P110" s="10">
        <f t="shared" si="17"/>
        <v>1.242251999855711E-2</v>
      </c>
      <c r="T110" s="5">
        <v>102</v>
      </c>
      <c r="U110" s="7" t="s">
        <v>135</v>
      </c>
      <c r="V110" s="8">
        <v>26014161</v>
      </c>
      <c r="W110" s="9">
        <v>9540</v>
      </c>
      <c r="X110" s="10">
        <f t="shared" si="18"/>
        <v>-9.3457943925233655E-3</v>
      </c>
      <c r="Y110" s="10">
        <f t="shared" si="19"/>
        <v>-9.3897403498390316E-3</v>
      </c>
      <c r="AC110" s="5">
        <v>102</v>
      </c>
      <c r="AD110" s="7" t="s">
        <v>135</v>
      </c>
      <c r="AE110" s="8">
        <v>35798007</v>
      </c>
      <c r="AF110" s="9">
        <v>36100</v>
      </c>
      <c r="AG110" s="10">
        <f t="shared" si="20"/>
        <v>-4.116865869853914E-2</v>
      </c>
      <c r="AH110" s="10">
        <f t="shared" si="21"/>
        <v>-4.2040088907067313E-2</v>
      </c>
      <c r="AL110" s="5">
        <v>102</v>
      </c>
      <c r="AM110" s="7" t="s">
        <v>135</v>
      </c>
      <c r="AN110" s="8">
        <v>58492759</v>
      </c>
      <c r="AO110" s="9">
        <v>134700</v>
      </c>
      <c r="AP110" s="10">
        <f t="shared" si="22"/>
        <v>8.2335329341316488E-3</v>
      </c>
      <c r="AQ110" s="10">
        <f t="shared" si="23"/>
        <v>8.1998223137728626E-3</v>
      </c>
      <c r="AU110" s="5">
        <v>102</v>
      </c>
      <c r="AV110" s="7" t="s">
        <v>135</v>
      </c>
      <c r="AW110" s="8">
        <v>40000000</v>
      </c>
      <c r="AX110" s="9">
        <v>2820</v>
      </c>
      <c r="AY110" s="10">
        <f t="shared" si="24"/>
        <v>1.2567324955116588E-2</v>
      </c>
      <c r="AZ110" s="10">
        <f t="shared" si="25"/>
        <v>1.2489011570774767E-2</v>
      </c>
      <c r="BD110" s="5">
        <v>102</v>
      </c>
      <c r="BE110" s="7" t="s">
        <v>135</v>
      </c>
      <c r="BF110" s="8">
        <v>16068000</v>
      </c>
      <c r="BG110" s="9">
        <v>10740</v>
      </c>
      <c r="BH110" s="10">
        <f t="shared" si="26"/>
        <v>4.6783625730994149E-2</v>
      </c>
      <c r="BI110" s="10">
        <f t="shared" si="27"/>
        <v>4.5722249338095149E-2</v>
      </c>
    </row>
    <row r="111" spans="2:61" x14ac:dyDescent="0.4">
      <c r="B111" s="5">
        <v>103</v>
      </c>
      <c r="C111" s="7" t="s">
        <v>136</v>
      </c>
      <c r="D111" s="8">
        <v>24054799</v>
      </c>
      <c r="E111" s="9">
        <v>10890</v>
      </c>
      <c r="F111" s="10">
        <f t="shared" si="14"/>
        <v>-3.6596523330283404E-3</v>
      </c>
      <c r="G111" s="10">
        <f t="shared" si="15"/>
        <v>-3.6663652435780679E-3</v>
      </c>
      <c r="K111" s="5">
        <v>103</v>
      </c>
      <c r="L111" s="7" t="s">
        <v>136</v>
      </c>
      <c r="M111" s="8">
        <v>21929315</v>
      </c>
      <c r="N111" s="9">
        <v>13600</v>
      </c>
      <c r="O111" s="10">
        <f t="shared" si="16"/>
        <v>8.9020771513352859E-3</v>
      </c>
      <c r="P111" s="10">
        <f t="shared" si="17"/>
        <v>8.8626872578453243E-3</v>
      </c>
      <c r="T111" s="5">
        <v>103</v>
      </c>
      <c r="U111" s="7" t="s">
        <v>136</v>
      </c>
      <c r="V111" s="8">
        <v>26014161</v>
      </c>
      <c r="W111" s="9">
        <v>9630</v>
      </c>
      <c r="X111" s="10">
        <f t="shared" si="18"/>
        <v>-2.9233870967741882E-2</v>
      </c>
      <c r="Y111" s="10">
        <f t="shared" si="19"/>
        <v>-2.966969548674718E-2</v>
      </c>
      <c r="AC111" s="5">
        <v>103</v>
      </c>
      <c r="AD111" s="7" t="s">
        <v>136</v>
      </c>
      <c r="AE111" s="8">
        <v>35798007</v>
      </c>
      <c r="AF111" s="9">
        <v>37650</v>
      </c>
      <c r="AG111" s="10">
        <f t="shared" si="20"/>
        <v>4.0000000000000036E-3</v>
      </c>
      <c r="AH111" s="10">
        <f t="shared" si="21"/>
        <v>3.9920212695374567E-3</v>
      </c>
      <c r="AL111" s="5">
        <v>103</v>
      </c>
      <c r="AM111" s="7" t="s">
        <v>136</v>
      </c>
      <c r="AN111" s="8">
        <v>58492759</v>
      </c>
      <c r="AO111" s="9">
        <v>133600</v>
      </c>
      <c r="AP111" s="10">
        <f t="shared" si="22"/>
        <v>1.9069412662090057E-2</v>
      </c>
      <c r="AQ111" s="10">
        <f t="shared" si="23"/>
        <v>1.8889870332891242E-2</v>
      </c>
      <c r="AU111" s="5">
        <v>103</v>
      </c>
      <c r="AV111" s="7" t="s">
        <v>136</v>
      </c>
      <c r="AW111" s="8">
        <v>40000000</v>
      </c>
      <c r="AX111" s="9">
        <v>2785</v>
      </c>
      <c r="AY111" s="10">
        <f t="shared" si="24"/>
        <v>-1.7921146953404632E-3</v>
      </c>
      <c r="AZ111" s="10">
        <f t="shared" si="25"/>
        <v>-1.7937224540268775E-3</v>
      </c>
      <c r="BD111" s="5">
        <v>103</v>
      </c>
      <c r="BE111" s="7" t="s">
        <v>136</v>
      </c>
      <c r="BF111" s="8">
        <v>16068000</v>
      </c>
      <c r="BG111" s="9">
        <v>10260</v>
      </c>
      <c r="BH111" s="10">
        <f t="shared" si="26"/>
        <v>-7.7369439071566237E-3</v>
      </c>
      <c r="BI111" s="10">
        <f t="shared" si="27"/>
        <v>-7.767029337659547E-3</v>
      </c>
    </row>
    <row r="112" spans="2:61" x14ac:dyDescent="0.4">
      <c r="B112" s="5">
        <v>104</v>
      </c>
      <c r="C112" s="7" t="s">
        <v>137</v>
      </c>
      <c r="D112" s="8">
        <v>24054799</v>
      </c>
      <c r="E112" s="9">
        <v>10930</v>
      </c>
      <c r="F112" s="10">
        <f t="shared" si="14"/>
        <v>3.016022620169645E-2</v>
      </c>
      <c r="G112" s="10">
        <f t="shared" si="15"/>
        <v>2.9714349562555364E-2</v>
      </c>
      <c r="K112" s="5">
        <v>104</v>
      </c>
      <c r="L112" s="7" t="s">
        <v>137</v>
      </c>
      <c r="M112" s="8">
        <v>21929315</v>
      </c>
      <c r="N112" s="9">
        <v>13480</v>
      </c>
      <c r="O112" s="10">
        <f t="shared" si="16"/>
        <v>2.6656511805026595E-2</v>
      </c>
      <c r="P112" s="10">
        <f t="shared" si="17"/>
        <v>2.6307417169456095E-2</v>
      </c>
      <c r="T112" s="5">
        <v>104</v>
      </c>
      <c r="U112" s="7" t="s">
        <v>137</v>
      </c>
      <c r="V112" s="8">
        <v>26014161</v>
      </c>
      <c r="W112" s="9">
        <v>9920</v>
      </c>
      <c r="X112" s="10">
        <f t="shared" si="18"/>
        <v>5.0658561296859084E-3</v>
      </c>
      <c r="Y112" s="10">
        <f t="shared" si="19"/>
        <v>5.0530678513912011E-3</v>
      </c>
      <c r="AC112" s="5">
        <v>104</v>
      </c>
      <c r="AD112" s="7" t="s">
        <v>137</v>
      </c>
      <c r="AE112" s="8">
        <v>35798007</v>
      </c>
      <c r="AF112" s="9">
        <v>37500</v>
      </c>
      <c r="AG112" s="10">
        <f t="shared" si="20"/>
        <v>8.6956521739130377E-2</v>
      </c>
      <c r="AH112" s="10">
        <f t="shared" si="21"/>
        <v>8.3381608939051E-2</v>
      </c>
      <c r="AL112" s="5">
        <v>104</v>
      </c>
      <c r="AM112" s="7" t="s">
        <v>137</v>
      </c>
      <c r="AN112" s="8">
        <v>58492759</v>
      </c>
      <c r="AO112" s="9">
        <v>131100</v>
      </c>
      <c r="AP112" s="10">
        <f t="shared" si="22"/>
        <v>1.5278838808250317E-3</v>
      </c>
      <c r="AQ112" s="10">
        <f t="shared" si="23"/>
        <v>1.5267178537998873E-3</v>
      </c>
      <c r="AU112" s="5">
        <v>104</v>
      </c>
      <c r="AV112" s="7" t="s">
        <v>137</v>
      </c>
      <c r="AW112" s="8">
        <v>40000000</v>
      </c>
      <c r="AX112" s="9">
        <v>2790</v>
      </c>
      <c r="AY112" s="10">
        <f t="shared" si="24"/>
        <v>1.7953321364452268E-3</v>
      </c>
      <c r="AZ112" s="10">
        <f t="shared" si="25"/>
        <v>1.7937224540269007E-3</v>
      </c>
      <c r="BD112" s="5">
        <v>104</v>
      </c>
      <c r="BE112" s="7" t="s">
        <v>137</v>
      </c>
      <c r="BF112" s="8">
        <v>16068000</v>
      </c>
      <c r="BG112" s="9">
        <v>10340</v>
      </c>
      <c r="BH112" s="10">
        <f t="shared" si="26"/>
        <v>4.8590864917394949E-3</v>
      </c>
      <c r="BI112" s="10">
        <f t="shared" si="27"/>
        <v>4.8473192343247758E-3</v>
      </c>
    </row>
    <row r="113" spans="2:61" x14ac:dyDescent="0.4">
      <c r="B113" s="5">
        <v>105</v>
      </c>
      <c r="C113" s="7" t="s">
        <v>138</v>
      </c>
      <c r="D113" s="8">
        <v>24054799</v>
      </c>
      <c r="E113" s="9">
        <v>10610</v>
      </c>
      <c r="F113" s="10">
        <f t="shared" si="14"/>
        <v>-8.2179930795847733E-2</v>
      </c>
      <c r="G113" s="10">
        <f t="shared" si="15"/>
        <v>-8.5753910618339618E-2</v>
      </c>
      <c r="K113" s="5">
        <v>105</v>
      </c>
      <c r="L113" s="7" t="s">
        <v>138</v>
      </c>
      <c r="M113" s="8">
        <v>21929315</v>
      </c>
      <c r="N113" s="9">
        <v>13130</v>
      </c>
      <c r="O113" s="10">
        <f t="shared" si="16"/>
        <v>-2.3065476190476164E-2</v>
      </c>
      <c r="P113" s="10">
        <f t="shared" si="17"/>
        <v>-2.333564678029864E-2</v>
      </c>
      <c r="T113" s="5">
        <v>105</v>
      </c>
      <c r="U113" s="7" t="s">
        <v>138</v>
      </c>
      <c r="V113" s="8">
        <v>26014161</v>
      </c>
      <c r="W113" s="9">
        <v>9870</v>
      </c>
      <c r="X113" s="10">
        <f t="shared" si="18"/>
        <v>7.7510917030567672E-2</v>
      </c>
      <c r="Y113" s="10">
        <f t="shared" si="19"/>
        <v>7.4653674759351307E-2</v>
      </c>
      <c r="AC113" s="5">
        <v>105</v>
      </c>
      <c r="AD113" s="7" t="s">
        <v>138</v>
      </c>
      <c r="AE113" s="8">
        <v>35798007</v>
      </c>
      <c r="AF113" s="9">
        <v>34500</v>
      </c>
      <c r="AG113" s="10">
        <f t="shared" si="20"/>
        <v>-3.0898876404494402E-2</v>
      </c>
      <c r="AH113" s="10">
        <f t="shared" si="21"/>
        <v>-3.1386313820670718E-2</v>
      </c>
      <c r="AL113" s="5">
        <v>105</v>
      </c>
      <c r="AM113" s="7" t="s">
        <v>138</v>
      </c>
      <c r="AN113" s="8">
        <v>58492759</v>
      </c>
      <c r="AO113" s="9">
        <v>130900</v>
      </c>
      <c r="AP113" s="10">
        <f t="shared" si="22"/>
        <v>-2.2404779686333032E-2</v>
      </c>
      <c r="AQ113" s="10">
        <f t="shared" si="23"/>
        <v>-2.2659579781272525E-2</v>
      </c>
      <c r="AU113" s="5">
        <v>105</v>
      </c>
      <c r="AV113" s="7" t="s">
        <v>138</v>
      </c>
      <c r="AW113" s="8">
        <v>40000000</v>
      </c>
      <c r="AX113" s="9">
        <v>2785</v>
      </c>
      <c r="AY113" s="10">
        <f t="shared" si="24"/>
        <v>-1.9366197183098621E-2</v>
      </c>
      <c r="AZ113" s="10">
        <f t="shared" si="25"/>
        <v>-1.9556178793867358E-2</v>
      </c>
      <c r="BD113" s="5">
        <v>105</v>
      </c>
      <c r="BE113" s="7" t="s">
        <v>138</v>
      </c>
      <c r="BF113" s="8">
        <v>16068000</v>
      </c>
      <c r="BG113" s="9">
        <v>10290</v>
      </c>
      <c r="BH113" s="10">
        <f t="shared" si="26"/>
        <v>-3.3802816901408406E-2</v>
      </c>
      <c r="BI113" s="10">
        <f t="shared" si="27"/>
        <v>-3.4387342309475835E-2</v>
      </c>
    </row>
    <row r="114" spans="2:61" x14ac:dyDescent="0.4">
      <c r="B114" s="5">
        <v>106</v>
      </c>
      <c r="C114" s="7" t="s">
        <v>139</v>
      </c>
      <c r="D114" s="8">
        <v>24054799</v>
      </c>
      <c r="E114" s="9">
        <v>11560</v>
      </c>
      <c r="F114" s="10">
        <f t="shared" si="14"/>
        <v>-1.0273972602739767E-2</v>
      </c>
      <c r="G114" s="10">
        <f t="shared" si="15"/>
        <v>-1.0327114155849628E-2</v>
      </c>
      <c r="K114" s="5">
        <v>106</v>
      </c>
      <c r="L114" s="7" t="s">
        <v>139</v>
      </c>
      <c r="M114" s="8">
        <v>21929315</v>
      </c>
      <c r="N114" s="9">
        <v>13440</v>
      </c>
      <c r="O114" s="10">
        <f t="shared" si="16"/>
        <v>-1.969365426695846E-2</v>
      </c>
      <c r="P114" s="10">
        <f t="shared" si="17"/>
        <v>-1.9890158479219575E-2</v>
      </c>
      <c r="T114" s="5">
        <v>106</v>
      </c>
      <c r="U114" s="7" t="s">
        <v>139</v>
      </c>
      <c r="V114" s="8">
        <v>26014161</v>
      </c>
      <c r="W114" s="9">
        <v>9160</v>
      </c>
      <c r="X114" s="10">
        <f t="shared" si="18"/>
        <v>2.1881838074397919E-3</v>
      </c>
      <c r="Y114" s="10">
        <f t="shared" si="19"/>
        <v>2.1857932199802256E-3</v>
      </c>
      <c r="AC114" s="5">
        <v>106</v>
      </c>
      <c r="AD114" s="7" t="s">
        <v>139</v>
      </c>
      <c r="AE114" s="8">
        <v>35798007</v>
      </c>
      <c r="AF114" s="9">
        <v>35600</v>
      </c>
      <c r="AG114" s="10">
        <f t="shared" si="20"/>
        <v>-6.9735006973500324E-3</v>
      </c>
      <c r="AH114" s="10">
        <f t="shared" si="21"/>
        <v>-6.9979291876445544E-3</v>
      </c>
      <c r="AL114" s="5">
        <v>106</v>
      </c>
      <c r="AM114" s="7" t="s">
        <v>139</v>
      </c>
      <c r="AN114" s="8">
        <v>58492759</v>
      </c>
      <c r="AO114" s="9">
        <v>133900</v>
      </c>
      <c r="AP114" s="10">
        <f t="shared" si="22"/>
        <v>-8.8823094004440994E-3</v>
      </c>
      <c r="AQ114" s="10">
        <f t="shared" si="23"/>
        <v>-8.9219922690263343E-3</v>
      </c>
      <c r="AU114" s="5">
        <v>106</v>
      </c>
      <c r="AV114" s="7" t="s">
        <v>139</v>
      </c>
      <c r="AW114" s="8">
        <v>40000000</v>
      </c>
      <c r="AX114" s="9">
        <v>2840</v>
      </c>
      <c r="AY114" s="10">
        <f t="shared" si="24"/>
        <v>-3.0716723549488067E-2</v>
      </c>
      <c r="AZ114" s="10">
        <f t="shared" si="25"/>
        <v>-3.1198370855861281E-2</v>
      </c>
      <c r="BD114" s="5">
        <v>106</v>
      </c>
      <c r="BE114" s="7" t="s">
        <v>139</v>
      </c>
      <c r="BF114" s="8">
        <v>16068000</v>
      </c>
      <c r="BG114" s="9">
        <v>10650</v>
      </c>
      <c r="BH114" s="10">
        <f t="shared" si="26"/>
        <v>-2.7397260273972601E-2</v>
      </c>
      <c r="BI114" s="10">
        <f t="shared" si="27"/>
        <v>-2.7779564107075706E-2</v>
      </c>
    </row>
    <row r="115" spans="2:61" x14ac:dyDescent="0.4">
      <c r="B115" s="5">
        <v>107</v>
      </c>
      <c r="C115" s="7" t="s">
        <v>140</v>
      </c>
      <c r="D115" s="8">
        <v>24054799</v>
      </c>
      <c r="E115" s="9">
        <v>11680</v>
      </c>
      <c r="F115" s="10">
        <f t="shared" si="14"/>
        <v>2.5460930640913038E-2</v>
      </c>
      <c r="G115" s="10">
        <f t="shared" si="15"/>
        <v>2.5142199940990186E-2</v>
      </c>
      <c r="K115" s="5">
        <v>107</v>
      </c>
      <c r="L115" s="7" t="s">
        <v>140</v>
      </c>
      <c r="M115" s="8">
        <v>21929315</v>
      </c>
      <c r="N115" s="9">
        <v>13710</v>
      </c>
      <c r="O115" s="10">
        <f t="shared" si="16"/>
        <v>-2.8348688873139571E-2</v>
      </c>
      <c r="P115" s="10">
        <f t="shared" si="17"/>
        <v>-2.8758272290499567E-2</v>
      </c>
      <c r="T115" s="5">
        <v>107</v>
      </c>
      <c r="U115" s="7" t="s">
        <v>140</v>
      </c>
      <c r="V115" s="8">
        <v>26014161</v>
      </c>
      <c r="W115" s="9">
        <v>9140</v>
      </c>
      <c r="X115" s="10">
        <f t="shared" si="18"/>
        <v>-2.1834061135370675E-3</v>
      </c>
      <c r="Y115" s="10">
        <f t="shared" si="19"/>
        <v>-2.1857932199802082E-3</v>
      </c>
      <c r="AC115" s="5">
        <v>107</v>
      </c>
      <c r="AD115" s="7" t="s">
        <v>140</v>
      </c>
      <c r="AE115" s="8">
        <v>35798007</v>
      </c>
      <c r="AF115" s="9">
        <v>35850</v>
      </c>
      <c r="AG115" s="10">
        <f t="shared" si="20"/>
        <v>-2.7816411682892728E-3</v>
      </c>
      <c r="AH115" s="10">
        <f t="shared" si="21"/>
        <v>-2.7855171214263121E-3</v>
      </c>
      <c r="AL115" s="5">
        <v>107</v>
      </c>
      <c r="AM115" s="7" t="s">
        <v>140</v>
      </c>
      <c r="AN115" s="8">
        <v>58492759</v>
      </c>
      <c r="AO115" s="9">
        <v>135100</v>
      </c>
      <c r="AP115" s="10">
        <f t="shared" si="22"/>
        <v>3.714710252600284E-3</v>
      </c>
      <c r="AQ115" s="10">
        <f t="shared" si="23"/>
        <v>3.70782775552573E-3</v>
      </c>
      <c r="AU115" s="5">
        <v>107</v>
      </c>
      <c r="AV115" s="7" t="s">
        <v>140</v>
      </c>
      <c r="AW115" s="8">
        <v>40000000</v>
      </c>
      <c r="AX115" s="9">
        <v>2930</v>
      </c>
      <c r="AY115" s="10">
        <f t="shared" si="24"/>
        <v>-3.4596375617792385E-2</v>
      </c>
      <c r="AZ115" s="10">
        <f t="shared" si="25"/>
        <v>-3.5209001482485611E-2</v>
      </c>
      <c r="BD115" s="5">
        <v>107</v>
      </c>
      <c r="BE115" s="7" t="s">
        <v>140</v>
      </c>
      <c r="BF115" s="8">
        <v>16068000</v>
      </c>
      <c r="BG115" s="9">
        <v>10950</v>
      </c>
      <c r="BH115" s="10">
        <f t="shared" si="26"/>
        <v>-1.3513513513513487E-2</v>
      </c>
      <c r="BI115" s="10">
        <f t="shared" si="27"/>
        <v>-1.3605652055778598E-2</v>
      </c>
    </row>
    <row r="116" spans="2:61" x14ac:dyDescent="0.4">
      <c r="B116" s="5">
        <v>108</v>
      </c>
      <c r="C116" s="7" t="s">
        <v>141</v>
      </c>
      <c r="D116" s="8">
        <v>24054799</v>
      </c>
      <c r="E116" s="9">
        <v>11390</v>
      </c>
      <c r="F116" s="10">
        <f t="shared" si="14"/>
        <v>-1.0425716768027837E-2</v>
      </c>
      <c r="G116" s="10">
        <f t="shared" si="15"/>
        <v>-1.048044527470054E-2</v>
      </c>
      <c r="K116" s="5">
        <v>108</v>
      </c>
      <c r="L116" s="7" t="s">
        <v>141</v>
      </c>
      <c r="M116" s="8">
        <v>21929315</v>
      </c>
      <c r="N116" s="9">
        <v>14110</v>
      </c>
      <c r="O116" s="10">
        <f t="shared" si="16"/>
        <v>2.842928216062468E-3</v>
      </c>
      <c r="P116" s="10">
        <f t="shared" si="17"/>
        <v>2.8388947384248714E-3</v>
      </c>
      <c r="T116" s="5">
        <v>108</v>
      </c>
      <c r="U116" s="7" t="s">
        <v>141</v>
      </c>
      <c r="V116" s="8">
        <v>26014161</v>
      </c>
      <c r="W116" s="9">
        <v>9160</v>
      </c>
      <c r="X116" s="10">
        <f t="shared" si="18"/>
        <v>3.3860045146726803E-2</v>
      </c>
      <c r="Y116" s="10">
        <f t="shared" si="19"/>
        <v>3.3299414069049259E-2</v>
      </c>
      <c r="AC116" s="5">
        <v>108</v>
      </c>
      <c r="AD116" s="7" t="s">
        <v>141</v>
      </c>
      <c r="AE116" s="8">
        <v>35798007</v>
      </c>
      <c r="AF116" s="9">
        <v>35950</v>
      </c>
      <c r="AG116" s="10">
        <f t="shared" si="20"/>
        <v>-1.9099590723055893E-2</v>
      </c>
      <c r="AH116" s="10">
        <f t="shared" si="21"/>
        <v>-1.9284344165604761E-2</v>
      </c>
      <c r="AL116" s="5">
        <v>108</v>
      </c>
      <c r="AM116" s="7" t="s">
        <v>141</v>
      </c>
      <c r="AN116" s="8">
        <v>58492759</v>
      </c>
      <c r="AO116" s="9">
        <v>134600</v>
      </c>
      <c r="AP116" s="10">
        <f t="shared" si="22"/>
        <v>-7.4239049740165708E-4</v>
      </c>
      <c r="AQ116" s="10">
        <f t="shared" si="23"/>
        <v>-7.4266620569089445E-4</v>
      </c>
      <c r="AU116" s="5">
        <v>108</v>
      </c>
      <c r="AV116" s="7" t="s">
        <v>141</v>
      </c>
      <c r="AW116" s="8">
        <v>40000000</v>
      </c>
      <c r="AX116" s="9">
        <v>3035</v>
      </c>
      <c r="AY116" s="10">
        <f t="shared" si="24"/>
        <v>1.6501650165017256E-3</v>
      </c>
      <c r="AZ116" s="10">
        <f t="shared" si="25"/>
        <v>1.6488049901838859E-3</v>
      </c>
      <c r="BD116" s="5">
        <v>108</v>
      </c>
      <c r="BE116" s="7" t="s">
        <v>141</v>
      </c>
      <c r="BF116" s="8">
        <v>16068000</v>
      </c>
      <c r="BG116" s="9">
        <v>11100</v>
      </c>
      <c r="BH116" s="10">
        <f t="shared" si="26"/>
        <v>4.5248868778280382E-3</v>
      </c>
      <c r="BI116" s="10">
        <f t="shared" si="27"/>
        <v>4.514680354526613E-3</v>
      </c>
    </row>
    <row r="117" spans="2:61" x14ac:dyDescent="0.4">
      <c r="B117" s="5">
        <v>109</v>
      </c>
      <c r="C117" s="7" t="s">
        <v>142</v>
      </c>
      <c r="D117" s="8">
        <v>24054799</v>
      </c>
      <c r="E117" s="9">
        <v>11510</v>
      </c>
      <c r="F117" s="10">
        <f t="shared" si="14"/>
        <v>3.4873583260679464E-3</v>
      </c>
      <c r="G117" s="10">
        <f t="shared" si="15"/>
        <v>3.4812915925118968E-3</v>
      </c>
      <c r="K117" s="5">
        <v>109</v>
      </c>
      <c r="L117" s="7" t="s">
        <v>142</v>
      </c>
      <c r="M117" s="8">
        <v>21929315</v>
      </c>
      <c r="N117" s="9">
        <v>14070</v>
      </c>
      <c r="O117" s="10">
        <f t="shared" si="16"/>
        <v>-2.1276595744680327E-3</v>
      </c>
      <c r="P117" s="10">
        <f t="shared" si="17"/>
        <v>-2.1299262578248533E-3</v>
      </c>
      <c r="T117" s="5">
        <v>109</v>
      </c>
      <c r="U117" s="7" t="s">
        <v>142</v>
      </c>
      <c r="V117" s="8">
        <v>26014161</v>
      </c>
      <c r="W117" s="9">
        <v>8860</v>
      </c>
      <c r="X117" s="10">
        <f t="shared" si="18"/>
        <v>-4.7311827956989294E-2</v>
      </c>
      <c r="Y117" s="10">
        <f t="shared" si="19"/>
        <v>-4.8467635542220722E-2</v>
      </c>
      <c r="AC117" s="5">
        <v>109</v>
      </c>
      <c r="AD117" s="7" t="s">
        <v>142</v>
      </c>
      <c r="AE117" s="8">
        <v>35798007</v>
      </c>
      <c r="AF117" s="9">
        <v>36650</v>
      </c>
      <c r="AG117" s="10">
        <f t="shared" si="20"/>
        <v>-2.7210884353741083E-3</v>
      </c>
      <c r="AH117" s="10">
        <f t="shared" si="21"/>
        <v>-2.7247973261851424E-3</v>
      </c>
      <c r="AL117" s="5">
        <v>109</v>
      </c>
      <c r="AM117" s="7" t="s">
        <v>142</v>
      </c>
      <c r="AN117" s="8">
        <v>58492759</v>
      </c>
      <c r="AO117" s="9">
        <v>134700</v>
      </c>
      <c r="AP117" s="10">
        <f t="shared" si="22"/>
        <v>-9.5588235294117307E-3</v>
      </c>
      <c r="AQ117" s="10">
        <f t="shared" si="23"/>
        <v>-9.6048023197336744E-3</v>
      </c>
      <c r="AU117" s="5">
        <v>109</v>
      </c>
      <c r="AV117" s="7" t="s">
        <v>142</v>
      </c>
      <c r="AW117" s="8">
        <v>40000000</v>
      </c>
      <c r="AX117" s="9">
        <v>3030</v>
      </c>
      <c r="AY117" s="10">
        <f t="shared" si="24"/>
        <v>-2.2580645161290325E-2</v>
      </c>
      <c r="AZ117" s="10">
        <f t="shared" si="25"/>
        <v>-2.2839491969822791E-2</v>
      </c>
      <c r="BD117" s="5">
        <v>109</v>
      </c>
      <c r="BE117" s="7" t="s">
        <v>142</v>
      </c>
      <c r="BF117" s="8">
        <v>16068000</v>
      </c>
      <c r="BG117" s="9">
        <v>11050</v>
      </c>
      <c r="BH117" s="10">
        <f t="shared" si="26"/>
        <v>1.7495395948434522E-2</v>
      </c>
      <c r="BI117" s="10">
        <f t="shared" si="27"/>
        <v>1.7344113457972345E-2</v>
      </c>
    </row>
    <row r="118" spans="2:61" x14ac:dyDescent="0.4">
      <c r="B118" s="5">
        <v>110</v>
      </c>
      <c r="C118" s="7" t="s">
        <v>143</v>
      </c>
      <c r="D118" s="8">
        <v>24054799</v>
      </c>
      <c r="E118" s="9">
        <v>11470</v>
      </c>
      <c r="F118" s="10">
        <f t="shared" si="14"/>
        <v>-3.4752389226759828E-3</v>
      </c>
      <c r="G118" s="10">
        <f t="shared" si="15"/>
        <v>-3.4812915925120026E-3</v>
      </c>
      <c r="K118" s="5">
        <v>110</v>
      </c>
      <c r="L118" s="7" t="s">
        <v>143</v>
      </c>
      <c r="M118" s="8">
        <v>21929315</v>
      </c>
      <c r="N118" s="9">
        <v>14100</v>
      </c>
      <c r="O118" s="10">
        <f t="shared" si="16"/>
        <v>-7.0422535211267512E-3</v>
      </c>
      <c r="P118" s="10">
        <f t="shared" si="17"/>
        <v>-7.067167223092443E-3</v>
      </c>
      <c r="T118" s="5">
        <v>110</v>
      </c>
      <c r="U118" s="7" t="s">
        <v>143</v>
      </c>
      <c r="V118" s="8">
        <v>26014161</v>
      </c>
      <c r="W118" s="9">
        <v>9300</v>
      </c>
      <c r="X118" s="10">
        <f t="shared" si="18"/>
        <v>-1.4830508474576232E-2</v>
      </c>
      <c r="Y118" s="10">
        <f t="shared" si="19"/>
        <v>-1.4941579998199027E-2</v>
      </c>
      <c r="AC118" s="5">
        <v>110</v>
      </c>
      <c r="AD118" s="7" t="s">
        <v>143</v>
      </c>
      <c r="AE118" s="8">
        <v>35798007</v>
      </c>
      <c r="AF118" s="9">
        <v>36750</v>
      </c>
      <c r="AG118" s="10">
        <f t="shared" si="20"/>
        <v>-1.8691588785046731E-2</v>
      </c>
      <c r="AH118" s="10">
        <f t="shared" si="21"/>
        <v>-1.8868484304382805E-2</v>
      </c>
      <c r="AL118" s="5">
        <v>110</v>
      </c>
      <c r="AM118" s="7" t="s">
        <v>143</v>
      </c>
      <c r="AN118" s="8">
        <v>58492759</v>
      </c>
      <c r="AO118" s="9">
        <v>136000</v>
      </c>
      <c r="AP118" s="10">
        <f t="shared" si="22"/>
        <v>2.9498525073745618E-3</v>
      </c>
      <c r="AQ118" s="10">
        <f t="shared" si="23"/>
        <v>2.9455102297567446E-3</v>
      </c>
      <c r="AU118" s="5">
        <v>110</v>
      </c>
      <c r="AV118" s="7" t="s">
        <v>143</v>
      </c>
      <c r="AW118" s="8">
        <v>40000000</v>
      </c>
      <c r="AX118" s="9">
        <v>3100</v>
      </c>
      <c r="AY118" s="10">
        <f t="shared" si="24"/>
        <v>-8.0000000000000071E-3</v>
      </c>
      <c r="AZ118" s="10">
        <f t="shared" si="25"/>
        <v>-8.0321716972642666E-3</v>
      </c>
      <c r="BD118" s="5">
        <v>110</v>
      </c>
      <c r="BE118" s="7" t="s">
        <v>143</v>
      </c>
      <c r="BF118" s="8">
        <v>16068000</v>
      </c>
      <c r="BG118" s="9">
        <v>10860</v>
      </c>
      <c r="BH118" s="10">
        <f t="shared" si="26"/>
        <v>-3.7234042553191515E-2</v>
      </c>
      <c r="BI118" s="10">
        <f t="shared" si="27"/>
        <v>-3.7944931564123485E-2</v>
      </c>
    </row>
    <row r="119" spans="2:61" x14ac:dyDescent="0.4">
      <c r="B119" s="5">
        <v>111</v>
      </c>
      <c r="C119" s="7" t="s">
        <v>144</v>
      </c>
      <c r="D119" s="8">
        <v>24054799</v>
      </c>
      <c r="E119" s="9">
        <v>11510</v>
      </c>
      <c r="F119" s="10">
        <f t="shared" si="14"/>
        <v>-4.4813278008298707E-2</v>
      </c>
      <c r="G119" s="10">
        <f t="shared" si="15"/>
        <v>-4.5848437202872676E-2</v>
      </c>
      <c r="K119" s="5">
        <v>111</v>
      </c>
      <c r="L119" s="7" t="s">
        <v>144</v>
      </c>
      <c r="M119" s="8">
        <v>21929315</v>
      </c>
      <c r="N119" s="9">
        <v>14200</v>
      </c>
      <c r="O119" s="10">
        <f t="shared" si="16"/>
        <v>-2.8062970568104029E-2</v>
      </c>
      <c r="P119" s="10">
        <f t="shared" si="17"/>
        <v>-2.8464261155393057E-2</v>
      </c>
      <c r="T119" s="5">
        <v>111</v>
      </c>
      <c r="U119" s="7" t="s">
        <v>144</v>
      </c>
      <c r="V119" s="8">
        <v>26014161</v>
      </c>
      <c r="W119" s="9">
        <v>9440</v>
      </c>
      <c r="X119" s="10">
        <f t="shared" si="18"/>
        <v>-3.8696537678207688E-2</v>
      </c>
      <c r="Y119" s="10">
        <f t="shared" si="19"/>
        <v>-3.9465142208965145E-2</v>
      </c>
      <c r="AC119" s="5">
        <v>111</v>
      </c>
      <c r="AD119" s="7" t="s">
        <v>144</v>
      </c>
      <c r="AE119" s="8">
        <v>35798007</v>
      </c>
      <c r="AF119" s="9">
        <v>37450</v>
      </c>
      <c r="AG119" s="10">
        <f t="shared" si="20"/>
        <v>-1.4473684210526305E-2</v>
      </c>
      <c r="AH119" s="10">
        <f t="shared" si="21"/>
        <v>-1.4579449763157273E-2</v>
      </c>
      <c r="AL119" s="5">
        <v>111</v>
      </c>
      <c r="AM119" s="7" t="s">
        <v>144</v>
      </c>
      <c r="AN119" s="8">
        <v>58492759</v>
      </c>
      <c r="AO119" s="9">
        <v>135600</v>
      </c>
      <c r="AP119" s="10">
        <f t="shared" si="22"/>
        <v>-1.5250544662309351E-2</v>
      </c>
      <c r="AQ119" s="10">
        <f t="shared" si="23"/>
        <v>-1.5368030228313949E-2</v>
      </c>
      <c r="AU119" s="5">
        <v>111</v>
      </c>
      <c r="AV119" s="7" t="s">
        <v>144</v>
      </c>
      <c r="AW119" s="8">
        <v>40000000</v>
      </c>
      <c r="AX119" s="9">
        <v>3125</v>
      </c>
      <c r="AY119" s="10">
        <f t="shared" si="24"/>
        <v>-4.5801526717557217E-2</v>
      </c>
      <c r="AZ119" s="10">
        <f t="shared" si="25"/>
        <v>-4.6883585898850381E-2</v>
      </c>
      <c r="BD119" s="5">
        <v>111</v>
      </c>
      <c r="BE119" s="7" t="s">
        <v>144</v>
      </c>
      <c r="BF119" s="8">
        <v>16068000</v>
      </c>
      <c r="BG119" s="9">
        <v>11280</v>
      </c>
      <c r="BH119" s="10">
        <f t="shared" si="26"/>
        <v>-3.2590051457975999E-2</v>
      </c>
      <c r="BI119" s="10">
        <f t="shared" si="27"/>
        <v>-3.3132934852433495E-2</v>
      </c>
    </row>
    <row r="120" spans="2:61" x14ac:dyDescent="0.4">
      <c r="B120" s="5">
        <v>112</v>
      </c>
      <c r="C120" s="7" t="s">
        <v>145</v>
      </c>
      <c r="D120" s="8">
        <v>24054799</v>
      </c>
      <c r="E120" s="9">
        <v>12050</v>
      </c>
      <c r="F120" s="10">
        <f t="shared" si="14"/>
        <v>8.3682008368199945E-3</v>
      </c>
      <c r="G120" s="10">
        <f t="shared" si="15"/>
        <v>8.3333815591442404E-3</v>
      </c>
      <c r="K120" s="5">
        <v>112</v>
      </c>
      <c r="L120" s="7" t="s">
        <v>145</v>
      </c>
      <c r="M120" s="8">
        <v>21929315</v>
      </c>
      <c r="N120" s="9">
        <v>14610</v>
      </c>
      <c r="O120" s="10">
        <f t="shared" si="16"/>
        <v>-1.3670539986329056E-3</v>
      </c>
      <c r="P120" s="10">
        <f t="shared" si="17"/>
        <v>-1.3679892694247865E-3</v>
      </c>
      <c r="T120" s="5">
        <v>112</v>
      </c>
      <c r="U120" s="7" t="s">
        <v>145</v>
      </c>
      <c r="V120" s="8">
        <v>26014161</v>
      </c>
      <c r="W120" s="9">
        <v>9820</v>
      </c>
      <c r="X120" s="10">
        <f t="shared" si="18"/>
        <v>6.3921993499458374E-2</v>
      </c>
      <c r="Y120" s="10">
        <f t="shared" si="19"/>
        <v>6.1962073851613814E-2</v>
      </c>
      <c r="AC120" s="5">
        <v>112</v>
      </c>
      <c r="AD120" s="7" t="s">
        <v>145</v>
      </c>
      <c r="AE120" s="8">
        <v>35798007</v>
      </c>
      <c r="AF120" s="9">
        <v>38000</v>
      </c>
      <c r="AG120" s="10">
        <f t="shared" si="20"/>
        <v>2.9810298102981081E-2</v>
      </c>
      <c r="AH120" s="10">
        <f t="shared" si="21"/>
        <v>2.9374608679904317E-2</v>
      </c>
      <c r="AL120" s="5">
        <v>112</v>
      </c>
      <c r="AM120" s="7" t="s">
        <v>145</v>
      </c>
      <c r="AN120" s="8">
        <v>58492759</v>
      </c>
      <c r="AO120" s="9">
        <v>137700</v>
      </c>
      <c r="AP120" s="10">
        <f t="shared" si="22"/>
        <v>2.0000000000000018E-2</v>
      </c>
      <c r="AQ120" s="10">
        <f t="shared" si="23"/>
        <v>1.980262729617973E-2</v>
      </c>
      <c r="AU120" s="5">
        <v>112</v>
      </c>
      <c r="AV120" s="7" t="s">
        <v>145</v>
      </c>
      <c r="AW120" s="8">
        <v>40000000</v>
      </c>
      <c r="AX120" s="9">
        <v>3275</v>
      </c>
      <c r="AY120" s="10">
        <f t="shared" si="24"/>
        <v>9.244992295839749E-3</v>
      </c>
      <c r="AZ120" s="10">
        <f t="shared" si="25"/>
        <v>9.2025189311619199E-3</v>
      </c>
      <c r="BD120" s="5">
        <v>112</v>
      </c>
      <c r="BE120" s="7" t="s">
        <v>145</v>
      </c>
      <c r="BF120" s="8">
        <v>16068000</v>
      </c>
      <c r="BG120" s="9">
        <v>11660</v>
      </c>
      <c r="BH120" s="10">
        <f t="shared" si="26"/>
        <v>2.9126213592232997E-2</v>
      </c>
      <c r="BI120" s="10">
        <f t="shared" si="27"/>
        <v>2.871010588243136E-2</v>
      </c>
    </row>
    <row r="121" spans="2:61" x14ac:dyDescent="0.4">
      <c r="B121" s="5">
        <v>113</v>
      </c>
      <c r="C121" s="7" t="s">
        <v>146</v>
      </c>
      <c r="D121" s="8">
        <v>24054799</v>
      </c>
      <c r="E121" s="9">
        <v>11950</v>
      </c>
      <c r="F121" s="10">
        <f t="shared" si="14"/>
        <v>5.8922558922558377E-3</v>
      </c>
      <c r="G121" s="10">
        <f t="shared" si="15"/>
        <v>5.8749644430207502E-3</v>
      </c>
      <c r="K121" s="5">
        <v>113</v>
      </c>
      <c r="L121" s="7" t="s">
        <v>146</v>
      </c>
      <c r="M121" s="8">
        <v>21929315</v>
      </c>
      <c r="N121" s="9">
        <v>14630</v>
      </c>
      <c r="O121" s="10">
        <f t="shared" si="16"/>
        <v>2.8109627547435068E-2</v>
      </c>
      <c r="P121" s="10">
        <f t="shared" si="17"/>
        <v>2.7721802930272009E-2</v>
      </c>
      <c r="T121" s="5">
        <v>113</v>
      </c>
      <c r="U121" s="7" t="s">
        <v>146</v>
      </c>
      <c r="V121" s="8">
        <v>26014161</v>
      </c>
      <c r="W121" s="9">
        <v>9230</v>
      </c>
      <c r="X121" s="10">
        <f t="shared" si="18"/>
        <v>3.8245219347581516E-2</v>
      </c>
      <c r="Y121" s="10">
        <f t="shared" si="19"/>
        <v>3.7531998988947546E-2</v>
      </c>
      <c r="AC121" s="5">
        <v>113</v>
      </c>
      <c r="AD121" s="7" t="s">
        <v>146</v>
      </c>
      <c r="AE121" s="8">
        <v>35798007</v>
      </c>
      <c r="AF121" s="9">
        <v>36900</v>
      </c>
      <c r="AG121" s="10">
        <f t="shared" si="20"/>
        <v>1.0958904109588996E-2</v>
      </c>
      <c r="AH121" s="10">
        <f t="shared" si="21"/>
        <v>1.0899290458035638E-2</v>
      </c>
      <c r="AL121" s="5">
        <v>113</v>
      </c>
      <c r="AM121" s="7" t="s">
        <v>146</v>
      </c>
      <c r="AN121" s="8">
        <v>58492759</v>
      </c>
      <c r="AO121" s="9">
        <v>135000</v>
      </c>
      <c r="AP121" s="10">
        <f t="shared" si="22"/>
        <v>-3.1563845050215256E-2</v>
      </c>
      <c r="AQ121" s="10">
        <f t="shared" si="23"/>
        <v>-3.2072719887994108E-2</v>
      </c>
      <c r="AU121" s="5">
        <v>113</v>
      </c>
      <c r="AV121" s="7" t="s">
        <v>146</v>
      </c>
      <c r="AW121" s="8">
        <v>40000000</v>
      </c>
      <c r="AX121" s="9">
        <v>3245</v>
      </c>
      <c r="AY121" s="10">
        <f t="shared" si="24"/>
        <v>2.0440251572326984E-2</v>
      </c>
      <c r="AZ121" s="10">
        <f t="shared" si="25"/>
        <v>2.0234153363967791E-2</v>
      </c>
      <c r="BD121" s="5">
        <v>113</v>
      </c>
      <c r="BE121" s="7" t="s">
        <v>146</v>
      </c>
      <c r="BF121" s="8">
        <v>16068000</v>
      </c>
      <c r="BG121" s="9">
        <v>11330</v>
      </c>
      <c r="BH121" s="10">
        <f t="shared" si="26"/>
        <v>8.9423076923076827E-2</v>
      </c>
      <c r="BI121" s="10">
        <f t="shared" si="27"/>
        <v>8.5648268892587878E-2</v>
      </c>
    </row>
    <row r="122" spans="2:61" x14ac:dyDescent="0.4">
      <c r="B122" s="5">
        <v>114</v>
      </c>
      <c r="C122" s="7" t="s">
        <v>147</v>
      </c>
      <c r="D122" s="8">
        <v>24054799</v>
      </c>
      <c r="E122" s="9">
        <v>11880</v>
      </c>
      <c r="F122" s="10">
        <f t="shared" si="14"/>
        <v>1.799485861182526E-2</v>
      </c>
      <c r="G122" s="10">
        <f t="shared" si="15"/>
        <v>1.783486763603432E-2</v>
      </c>
      <c r="K122" s="5">
        <v>114</v>
      </c>
      <c r="L122" s="7" t="s">
        <v>147</v>
      </c>
      <c r="M122" s="8">
        <v>21929315</v>
      </c>
      <c r="N122" s="9">
        <v>14230</v>
      </c>
      <c r="O122" s="10">
        <f t="shared" si="16"/>
        <v>-9.0529247910863253E-3</v>
      </c>
      <c r="P122" s="10">
        <f t="shared" si="17"/>
        <v>-9.0941515183170975E-3</v>
      </c>
      <c r="T122" s="5">
        <v>114</v>
      </c>
      <c r="U122" s="7" t="s">
        <v>147</v>
      </c>
      <c r="V122" s="8">
        <v>26014161</v>
      </c>
      <c r="W122" s="9">
        <v>8890</v>
      </c>
      <c r="X122" s="10">
        <f t="shared" si="18"/>
        <v>-4.4792833146696243E-3</v>
      </c>
      <c r="Y122" s="10">
        <f t="shared" si="19"/>
        <v>-4.4893453625944402E-3</v>
      </c>
      <c r="AC122" s="5">
        <v>114</v>
      </c>
      <c r="AD122" s="7" t="s">
        <v>147</v>
      </c>
      <c r="AE122" s="8">
        <v>35798007</v>
      </c>
      <c r="AF122" s="9">
        <v>36500</v>
      </c>
      <c r="AG122" s="10">
        <f t="shared" si="20"/>
        <v>3.9886039886039892E-2</v>
      </c>
      <c r="AH122" s="10">
        <f t="shared" si="21"/>
        <v>3.9111130116625696E-2</v>
      </c>
      <c r="AL122" s="5">
        <v>114</v>
      </c>
      <c r="AM122" s="7" t="s">
        <v>147</v>
      </c>
      <c r="AN122" s="8">
        <v>58492759</v>
      </c>
      <c r="AO122" s="9">
        <v>139400</v>
      </c>
      <c r="AP122" s="10">
        <f t="shared" si="22"/>
        <v>-1.4326647564469885E-3</v>
      </c>
      <c r="AQ122" s="10">
        <f t="shared" si="23"/>
        <v>-1.4336920018485856E-3</v>
      </c>
      <c r="AU122" s="5">
        <v>114</v>
      </c>
      <c r="AV122" s="7" t="s">
        <v>147</v>
      </c>
      <c r="AW122" s="8">
        <v>40000000</v>
      </c>
      <c r="AX122" s="9">
        <v>3180</v>
      </c>
      <c r="AY122" s="10">
        <f t="shared" si="24"/>
        <v>-1.3953488372092981E-2</v>
      </c>
      <c r="AZ122" s="10">
        <f t="shared" si="25"/>
        <v>-1.4051753455650302E-2</v>
      </c>
      <c r="BD122" s="5">
        <v>114</v>
      </c>
      <c r="BE122" s="7" t="s">
        <v>147</v>
      </c>
      <c r="BF122" s="8">
        <v>16068000</v>
      </c>
      <c r="BG122" s="9">
        <v>10400</v>
      </c>
      <c r="BH122" s="10">
        <f t="shared" si="26"/>
        <v>-5.2823315118397107E-2</v>
      </c>
      <c r="BI122" s="10">
        <f t="shared" si="27"/>
        <v>-5.4269629934057616E-2</v>
      </c>
    </row>
    <row r="123" spans="2:61" x14ac:dyDescent="0.4">
      <c r="B123" s="5">
        <v>115</v>
      </c>
      <c r="C123" s="7" t="s">
        <v>148</v>
      </c>
      <c r="D123" s="8">
        <v>24054799</v>
      </c>
      <c r="E123" s="9">
        <v>11670</v>
      </c>
      <c r="F123" s="10">
        <f t="shared" si="14"/>
        <v>4.3828264758497326E-2</v>
      </c>
      <c r="G123" s="10">
        <f t="shared" si="15"/>
        <v>4.2894978571511526E-2</v>
      </c>
      <c r="K123" s="5">
        <v>115</v>
      </c>
      <c r="L123" s="7" t="s">
        <v>148</v>
      </c>
      <c r="M123" s="8">
        <v>21929315</v>
      </c>
      <c r="N123" s="9">
        <v>14360</v>
      </c>
      <c r="O123" s="10">
        <f t="shared" si="16"/>
        <v>4.8985304408677433E-3</v>
      </c>
      <c r="P123" s="10">
        <f t="shared" si="17"/>
        <v>4.8865716783020891E-3</v>
      </c>
      <c r="T123" s="5">
        <v>115</v>
      </c>
      <c r="U123" s="7" t="s">
        <v>148</v>
      </c>
      <c r="V123" s="8">
        <v>26014161</v>
      </c>
      <c r="W123" s="9">
        <v>8930</v>
      </c>
      <c r="X123" s="10">
        <f t="shared" si="18"/>
        <v>3.1177829099307219E-2</v>
      </c>
      <c r="Y123" s="10">
        <f t="shared" si="19"/>
        <v>3.0701672314063948E-2</v>
      </c>
      <c r="AC123" s="5">
        <v>115</v>
      </c>
      <c r="AD123" s="7" t="s">
        <v>148</v>
      </c>
      <c r="AE123" s="8">
        <v>35798007</v>
      </c>
      <c r="AF123" s="9">
        <v>35100</v>
      </c>
      <c r="AG123" s="10">
        <f t="shared" si="20"/>
        <v>1.591895803183796E-2</v>
      </c>
      <c r="AH123" s="10">
        <f t="shared" si="21"/>
        <v>1.5793580258141267E-2</v>
      </c>
      <c r="AL123" s="5">
        <v>115</v>
      </c>
      <c r="AM123" s="7" t="s">
        <v>148</v>
      </c>
      <c r="AN123" s="8">
        <v>58492759</v>
      </c>
      <c r="AO123" s="9">
        <v>139600</v>
      </c>
      <c r="AP123" s="10">
        <f t="shared" si="22"/>
        <v>5.1204819277108404E-2</v>
      </c>
      <c r="AQ123" s="10">
        <f t="shared" si="23"/>
        <v>4.9936953285938591E-2</v>
      </c>
      <c r="AU123" s="5">
        <v>115</v>
      </c>
      <c r="AV123" s="7" t="s">
        <v>148</v>
      </c>
      <c r="AW123" s="8">
        <v>40000000</v>
      </c>
      <c r="AX123" s="9">
        <v>3225</v>
      </c>
      <c r="AY123" s="10">
        <f t="shared" si="24"/>
        <v>6.4356435643564414E-2</v>
      </c>
      <c r="AZ123" s="10">
        <f t="shared" si="25"/>
        <v>6.237033072645809E-2</v>
      </c>
      <c r="BD123" s="5">
        <v>115</v>
      </c>
      <c r="BE123" s="7" t="s">
        <v>148</v>
      </c>
      <c r="BF123" s="8">
        <v>16068000</v>
      </c>
      <c r="BG123" s="9">
        <v>10980</v>
      </c>
      <c r="BH123" s="10">
        <f t="shared" si="26"/>
        <v>0.20394736842105265</v>
      </c>
      <c r="BI123" s="10">
        <f t="shared" si="27"/>
        <v>0.18560563199514457</v>
      </c>
    </row>
    <row r="124" spans="2:61" x14ac:dyDescent="0.4">
      <c r="B124" s="5">
        <v>116</v>
      </c>
      <c r="C124" s="7" t="s">
        <v>149</v>
      </c>
      <c r="D124" s="8">
        <v>24054799</v>
      </c>
      <c r="E124" s="9">
        <v>11180</v>
      </c>
      <c r="F124" s="10">
        <f t="shared" si="14"/>
        <v>3.5906642728904536E-3</v>
      </c>
      <c r="G124" s="10">
        <f t="shared" si="15"/>
        <v>3.5842332278151067E-3</v>
      </c>
      <c r="K124" s="5">
        <v>116</v>
      </c>
      <c r="L124" s="7" t="s">
        <v>149</v>
      </c>
      <c r="M124" s="8">
        <v>21929315</v>
      </c>
      <c r="N124" s="9">
        <v>14290</v>
      </c>
      <c r="O124" s="10">
        <f t="shared" si="16"/>
        <v>1.708185053380773E-2</v>
      </c>
      <c r="P124" s="10">
        <f t="shared" si="17"/>
        <v>1.693759616202117E-2</v>
      </c>
      <c r="T124" s="5">
        <v>116</v>
      </c>
      <c r="U124" s="7" t="s">
        <v>149</v>
      </c>
      <c r="V124" s="8">
        <v>26014161</v>
      </c>
      <c r="W124" s="9">
        <v>8660</v>
      </c>
      <c r="X124" s="10">
        <f t="shared" si="18"/>
        <v>-7.8723404255319096E-2</v>
      </c>
      <c r="Y124" s="10">
        <f t="shared" si="19"/>
        <v>-8.1994966701614366E-2</v>
      </c>
      <c r="AC124" s="5">
        <v>116</v>
      </c>
      <c r="AD124" s="7" t="s">
        <v>149</v>
      </c>
      <c r="AE124" s="8">
        <v>35798007</v>
      </c>
      <c r="AF124" s="9">
        <v>34550</v>
      </c>
      <c r="AG124" s="10">
        <f t="shared" si="20"/>
        <v>8.7591240875912746E-3</v>
      </c>
      <c r="AH124" s="10">
        <f t="shared" si="21"/>
        <v>8.7209855054446398E-3</v>
      </c>
      <c r="AL124" s="5">
        <v>116</v>
      </c>
      <c r="AM124" s="7" t="s">
        <v>149</v>
      </c>
      <c r="AN124" s="8">
        <v>58492759</v>
      </c>
      <c r="AO124" s="9">
        <v>132800</v>
      </c>
      <c r="AP124" s="10">
        <f t="shared" si="22"/>
        <v>-2.7818448023426035E-2</v>
      </c>
      <c r="AQ124" s="10">
        <f t="shared" si="23"/>
        <v>-2.8212710094356185E-2</v>
      </c>
      <c r="AU124" s="5">
        <v>116</v>
      </c>
      <c r="AV124" s="7" t="s">
        <v>149</v>
      </c>
      <c r="AW124" s="8">
        <v>40000000</v>
      </c>
      <c r="AX124" s="9">
        <v>3030</v>
      </c>
      <c r="AY124" s="10">
        <f t="shared" si="24"/>
        <v>3.3112582781456013E-3</v>
      </c>
      <c r="AZ124" s="10">
        <f t="shared" si="25"/>
        <v>3.3057881344994103E-3</v>
      </c>
      <c r="BD124" s="5">
        <v>116</v>
      </c>
      <c r="BE124" s="7" t="s">
        <v>149</v>
      </c>
      <c r="BF124" s="8">
        <v>16068000</v>
      </c>
      <c r="BG124" s="9">
        <v>9120</v>
      </c>
      <c r="BH124" s="10">
        <f t="shared" si="26"/>
        <v>2.0134228187919545E-2</v>
      </c>
      <c r="BI124" s="10">
        <f t="shared" si="27"/>
        <v>1.9934214900817329E-2</v>
      </c>
    </row>
    <row r="125" spans="2:61" x14ac:dyDescent="0.4">
      <c r="B125" s="5">
        <v>117</v>
      </c>
      <c r="C125" s="7" t="s">
        <v>150</v>
      </c>
      <c r="D125" s="8">
        <v>24054799</v>
      </c>
      <c r="E125" s="9">
        <v>11140</v>
      </c>
      <c r="F125" s="10">
        <f t="shared" si="14"/>
        <v>-2.6857654431512445E-3</v>
      </c>
      <c r="G125" s="10">
        <f t="shared" si="15"/>
        <v>-2.6893785819713236E-3</v>
      </c>
      <c r="K125" s="5">
        <v>117</v>
      </c>
      <c r="L125" s="7" t="s">
        <v>150</v>
      </c>
      <c r="M125" s="8">
        <v>21929315</v>
      </c>
      <c r="N125" s="9">
        <v>14050</v>
      </c>
      <c r="O125" s="10">
        <f t="shared" si="16"/>
        <v>-1.7482517482517501E-2</v>
      </c>
      <c r="P125" s="10">
        <f t="shared" si="17"/>
        <v>-1.7637141486106844E-2</v>
      </c>
      <c r="T125" s="5">
        <v>117</v>
      </c>
      <c r="U125" s="7" t="s">
        <v>150</v>
      </c>
      <c r="V125" s="8">
        <v>26014161</v>
      </c>
      <c r="W125" s="9">
        <v>9400</v>
      </c>
      <c r="X125" s="10">
        <f t="shared" si="18"/>
        <v>6.4239828693790635E-3</v>
      </c>
      <c r="Y125" s="10">
        <f t="shared" si="19"/>
        <v>6.4034370352070071E-3</v>
      </c>
      <c r="AC125" s="5">
        <v>117</v>
      </c>
      <c r="AD125" s="7" t="s">
        <v>150</v>
      </c>
      <c r="AE125" s="8">
        <v>35798007</v>
      </c>
      <c r="AF125" s="9">
        <v>34250</v>
      </c>
      <c r="AG125" s="10">
        <f t="shared" si="20"/>
        <v>-4.728789986091797E-2</v>
      </c>
      <c r="AH125" s="10">
        <f t="shared" si="21"/>
        <v>-4.8442519458821429E-2</v>
      </c>
      <c r="AL125" s="5">
        <v>117</v>
      </c>
      <c r="AM125" s="7" t="s">
        <v>150</v>
      </c>
      <c r="AN125" s="8">
        <v>58492759</v>
      </c>
      <c r="AO125" s="9">
        <v>136600</v>
      </c>
      <c r="AP125" s="10">
        <f t="shared" si="22"/>
        <v>1.4105419450630929E-2</v>
      </c>
      <c r="AQ125" s="10">
        <f t="shared" si="23"/>
        <v>1.4006863720371287E-2</v>
      </c>
      <c r="AU125" s="5">
        <v>117</v>
      </c>
      <c r="AV125" s="7" t="s">
        <v>150</v>
      </c>
      <c r="AW125" s="8">
        <v>40000000</v>
      </c>
      <c r="AX125" s="9">
        <v>3020</v>
      </c>
      <c r="AY125" s="10">
        <f t="shared" si="24"/>
        <v>8.3472454090149917E-3</v>
      </c>
      <c r="AZ125" s="10">
        <f t="shared" si="25"/>
        <v>8.3125998193655654E-3</v>
      </c>
      <c r="BD125" s="5">
        <v>117</v>
      </c>
      <c r="BE125" s="7" t="s">
        <v>150</v>
      </c>
      <c r="BF125" s="8">
        <v>16068000</v>
      </c>
      <c r="BG125" s="9">
        <v>8940</v>
      </c>
      <c r="BH125" s="10">
        <f t="shared" si="26"/>
        <v>-1.3245033112582738E-2</v>
      </c>
      <c r="BI125" s="10">
        <f t="shared" si="27"/>
        <v>-1.3333530869465144E-2</v>
      </c>
    </row>
    <row r="126" spans="2:61" x14ac:dyDescent="0.4">
      <c r="B126" s="5">
        <v>118</v>
      </c>
      <c r="C126" s="7" t="s">
        <v>151</v>
      </c>
      <c r="D126" s="8">
        <v>24054799</v>
      </c>
      <c r="E126" s="9">
        <v>11170</v>
      </c>
      <c r="F126" s="10">
        <f t="shared" si="14"/>
        <v>4.2950513538748902E-2</v>
      </c>
      <c r="G126" s="10">
        <f t="shared" si="15"/>
        <v>4.2053728621452006E-2</v>
      </c>
      <c r="K126" s="5">
        <v>118</v>
      </c>
      <c r="L126" s="7" t="s">
        <v>151</v>
      </c>
      <c r="M126" s="8">
        <v>21929315</v>
      </c>
      <c r="N126" s="9">
        <v>14300</v>
      </c>
      <c r="O126" s="10">
        <f t="shared" si="16"/>
        <v>4.0756914119359555E-2</v>
      </c>
      <c r="P126" s="10">
        <f t="shared" si="17"/>
        <v>3.9948250471658335E-2</v>
      </c>
      <c r="T126" s="5">
        <v>118</v>
      </c>
      <c r="U126" s="7" t="s">
        <v>151</v>
      </c>
      <c r="V126" s="8">
        <v>26014161</v>
      </c>
      <c r="W126" s="9">
        <v>9340</v>
      </c>
      <c r="X126" s="10">
        <f t="shared" si="18"/>
        <v>5.65610859728507E-2</v>
      </c>
      <c r="Y126" s="10">
        <f t="shared" si="19"/>
        <v>5.5019375591199203E-2</v>
      </c>
      <c r="AC126" s="5">
        <v>118</v>
      </c>
      <c r="AD126" s="7" t="s">
        <v>151</v>
      </c>
      <c r="AE126" s="8">
        <v>35798007</v>
      </c>
      <c r="AF126" s="9">
        <v>35950</v>
      </c>
      <c r="AG126" s="10">
        <f t="shared" si="20"/>
        <v>4.8104956268221644E-2</v>
      </c>
      <c r="AH126" s="10">
        <f t="shared" si="21"/>
        <v>4.6983729995161531E-2</v>
      </c>
      <c r="AL126" s="5">
        <v>118</v>
      </c>
      <c r="AM126" s="7" t="s">
        <v>151</v>
      </c>
      <c r="AN126" s="8">
        <v>58492759</v>
      </c>
      <c r="AO126" s="9">
        <v>134700</v>
      </c>
      <c r="AP126" s="10">
        <f t="shared" si="22"/>
        <v>1.0502625656414022E-2</v>
      </c>
      <c r="AQ126" s="10">
        <f t="shared" si="23"/>
        <v>1.0447856231655235E-2</v>
      </c>
      <c r="AU126" s="5">
        <v>118</v>
      </c>
      <c r="AV126" s="7" t="s">
        <v>151</v>
      </c>
      <c r="AW126" s="8">
        <v>40000000</v>
      </c>
      <c r="AX126" s="9">
        <v>2995</v>
      </c>
      <c r="AY126" s="10">
        <f t="shared" si="24"/>
        <v>5.2724077328646812E-2</v>
      </c>
      <c r="AZ126" s="10">
        <f t="shared" si="25"/>
        <v>5.1381163989118489E-2</v>
      </c>
      <c r="BD126" s="5">
        <v>118</v>
      </c>
      <c r="BE126" s="7" t="s">
        <v>151</v>
      </c>
      <c r="BF126" s="8">
        <v>16068000</v>
      </c>
      <c r="BG126" s="9">
        <v>9060</v>
      </c>
      <c r="BH126" s="10">
        <f t="shared" si="26"/>
        <v>5.5493895671476778E-3</v>
      </c>
      <c r="BI126" s="10">
        <f t="shared" si="27"/>
        <v>5.5340484346414788E-3</v>
      </c>
    </row>
    <row r="127" spans="2:61" x14ac:dyDescent="0.4">
      <c r="B127" s="5">
        <v>119</v>
      </c>
      <c r="C127" s="7" t="s">
        <v>152</v>
      </c>
      <c r="D127" s="8">
        <v>24054799</v>
      </c>
      <c r="E127" s="9">
        <v>10710</v>
      </c>
      <c r="F127" s="10">
        <f t="shared" si="14"/>
        <v>3.3783783783783772E-2</v>
      </c>
      <c r="G127" s="10">
        <f t="shared" si="15"/>
        <v>3.3225647628320386E-2</v>
      </c>
      <c r="K127" s="5">
        <v>119</v>
      </c>
      <c r="L127" s="7" t="s">
        <v>152</v>
      </c>
      <c r="M127" s="8">
        <v>21929315</v>
      </c>
      <c r="N127" s="9">
        <v>13740</v>
      </c>
      <c r="O127" s="10">
        <f t="shared" si="16"/>
        <v>4.8854961832061061E-2</v>
      </c>
      <c r="P127" s="10">
        <f t="shared" si="17"/>
        <v>4.7699056587097416E-2</v>
      </c>
      <c r="T127" s="5">
        <v>119</v>
      </c>
      <c r="U127" s="7" t="s">
        <v>152</v>
      </c>
      <c r="V127" s="8">
        <v>26014161</v>
      </c>
      <c r="W127" s="9">
        <v>8840</v>
      </c>
      <c r="X127" s="10">
        <f t="shared" si="18"/>
        <v>0.16622691292875991</v>
      </c>
      <c r="Y127" s="10">
        <f t="shared" si="19"/>
        <v>0.15377367699527178</v>
      </c>
      <c r="AC127" s="5">
        <v>119</v>
      </c>
      <c r="AD127" s="7" t="s">
        <v>152</v>
      </c>
      <c r="AE127" s="8">
        <v>35798007</v>
      </c>
      <c r="AF127" s="9">
        <v>34300</v>
      </c>
      <c r="AG127" s="10">
        <f t="shared" si="20"/>
        <v>8.8235294117646745E-3</v>
      </c>
      <c r="AH127" s="10">
        <f t="shared" si="21"/>
        <v>8.7848295557328114E-3</v>
      </c>
      <c r="AL127" s="5">
        <v>119</v>
      </c>
      <c r="AM127" s="7" t="s">
        <v>152</v>
      </c>
      <c r="AN127" s="8">
        <v>58492759</v>
      </c>
      <c r="AO127" s="9">
        <v>133300</v>
      </c>
      <c r="AP127" s="10">
        <f t="shared" si="22"/>
        <v>-1.25925925925926E-2</v>
      </c>
      <c r="AQ127" s="10">
        <f t="shared" si="23"/>
        <v>-1.267255125376647E-2</v>
      </c>
      <c r="AU127" s="5">
        <v>119</v>
      </c>
      <c r="AV127" s="7" t="s">
        <v>152</v>
      </c>
      <c r="AW127" s="8">
        <v>40000000</v>
      </c>
      <c r="AX127" s="9">
        <v>2845</v>
      </c>
      <c r="AY127" s="10">
        <f t="shared" si="24"/>
        <v>2.1543985637342944E-2</v>
      </c>
      <c r="AZ127" s="10">
        <f t="shared" si="25"/>
        <v>2.1315194199046934E-2</v>
      </c>
      <c r="BD127" s="5">
        <v>119</v>
      </c>
      <c r="BE127" s="7" t="s">
        <v>152</v>
      </c>
      <c r="BF127" s="8">
        <v>16068000</v>
      </c>
      <c r="BG127" s="9">
        <v>9010</v>
      </c>
      <c r="BH127" s="10">
        <f t="shared" si="26"/>
        <v>2.5028441410694047E-2</v>
      </c>
      <c r="BI127" s="10">
        <f t="shared" si="27"/>
        <v>2.4720359923160993E-2</v>
      </c>
    </row>
    <row r="128" spans="2:61" x14ac:dyDescent="0.4">
      <c r="B128" s="5">
        <v>120</v>
      </c>
      <c r="C128" s="7" t="s">
        <v>153</v>
      </c>
      <c r="D128" s="8">
        <v>24054799</v>
      </c>
      <c r="E128" s="9">
        <v>10360</v>
      </c>
      <c r="F128" s="10">
        <f t="shared" si="14"/>
        <v>-7.6628352490420992E-3</v>
      </c>
      <c r="G128" s="10">
        <f t="shared" si="15"/>
        <v>-7.6923456231556137E-3</v>
      </c>
      <c r="K128" s="5">
        <v>120</v>
      </c>
      <c r="L128" s="7" t="s">
        <v>153</v>
      </c>
      <c r="M128" s="8">
        <v>21929315</v>
      </c>
      <c r="N128" s="9">
        <v>13100</v>
      </c>
      <c r="O128" s="10">
        <f t="shared" si="16"/>
        <v>6.9177555726365192E-3</v>
      </c>
      <c r="P128" s="10">
        <f t="shared" si="17"/>
        <v>6.8939376826920385E-3</v>
      </c>
      <c r="T128" s="5">
        <v>120</v>
      </c>
      <c r="U128" s="7" t="s">
        <v>153</v>
      </c>
      <c r="V128" s="8">
        <v>26014161</v>
      </c>
      <c r="W128" s="9">
        <v>7580</v>
      </c>
      <c r="X128" s="10">
        <f t="shared" si="18"/>
        <v>5.3050397877985045E-3</v>
      </c>
      <c r="Y128" s="10">
        <f t="shared" si="19"/>
        <v>5.29101763441568E-3</v>
      </c>
      <c r="AC128" s="5">
        <v>120</v>
      </c>
      <c r="AD128" s="7" t="s">
        <v>153</v>
      </c>
      <c r="AE128" s="8">
        <v>35798007</v>
      </c>
      <c r="AF128" s="9">
        <v>34000</v>
      </c>
      <c r="AG128" s="10">
        <f t="shared" si="20"/>
        <v>-2.9325513196480912E-3</v>
      </c>
      <c r="AH128" s="10">
        <f t="shared" si="21"/>
        <v>-2.9368596733097135E-3</v>
      </c>
      <c r="AL128" s="5">
        <v>120</v>
      </c>
      <c r="AM128" s="7" t="s">
        <v>153</v>
      </c>
      <c r="AN128" s="8">
        <v>58492759</v>
      </c>
      <c r="AO128" s="9">
        <v>135000</v>
      </c>
      <c r="AP128" s="10">
        <f t="shared" si="22"/>
        <v>1.0479041916167775E-2</v>
      </c>
      <c r="AQ128" s="10">
        <f t="shared" si="23"/>
        <v>1.0424517335884207E-2</v>
      </c>
      <c r="AU128" s="5">
        <v>120</v>
      </c>
      <c r="AV128" s="7" t="s">
        <v>153</v>
      </c>
      <c r="AW128" s="8">
        <v>40000000</v>
      </c>
      <c r="AX128" s="9">
        <v>2785</v>
      </c>
      <c r="AY128" s="10">
        <f t="shared" si="24"/>
        <v>2.9574861367837268E-2</v>
      </c>
      <c r="AZ128" s="10">
        <f t="shared" si="25"/>
        <v>2.9145961080802432E-2</v>
      </c>
      <c r="BD128" s="5">
        <v>120</v>
      </c>
      <c r="BE128" s="7" t="s">
        <v>153</v>
      </c>
      <c r="BF128" s="8">
        <v>16068000</v>
      </c>
      <c r="BG128" s="9">
        <v>8790</v>
      </c>
      <c r="BH128" s="10">
        <f t="shared" si="26"/>
        <v>6.8728522336769515E-3</v>
      </c>
      <c r="BI128" s="10">
        <f t="shared" si="27"/>
        <v>6.8493418455747683E-3</v>
      </c>
    </row>
    <row r="129" spans="2:61" x14ac:dyDescent="0.4">
      <c r="B129" s="5">
        <v>121</v>
      </c>
      <c r="C129" s="7" t="s">
        <v>154</v>
      </c>
      <c r="D129" s="8">
        <v>24054799</v>
      </c>
      <c r="E129" s="9">
        <v>10440</v>
      </c>
      <c r="F129" s="10">
        <f t="shared" si="14"/>
        <v>-4.7445255474452552E-2</v>
      </c>
      <c r="G129" s="10">
        <f t="shared" si="15"/>
        <v>-4.8607699065376812E-2</v>
      </c>
      <c r="K129" s="5">
        <v>121</v>
      </c>
      <c r="L129" s="7" t="s">
        <v>154</v>
      </c>
      <c r="M129" s="8">
        <v>21929315</v>
      </c>
      <c r="N129" s="9">
        <v>13010</v>
      </c>
      <c r="O129" s="10">
        <f t="shared" si="16"/>
        <v>-2.4737631184407749E-2</v>
      </c>
      <c r="P129" s="10">
        <f t="shared" si="17"/>
        <v>-2.5048747963063705E-2</v>
      </c>
      <c r="T129" s="5">
        <v>121</v>
      </c>
      <c r="U129" s="7" t="s">
        <v>154</v>
      </c>
      <c r="V129" s="8">
        <v>26014161</v>
      </c>
      <c r="W129" s="9">
        <v>7540</v>
      </c>
      <c r="X129" s="10">
        <f t="shared" si="18"/>
        <v>-1.6949152542372836E-2</v>
      </c>
      <c r="Y129" s="10">
        <f t="shared" si="19"/>
        <v>-1.7094433359300068E-2</v>
      </c>
      <c r="AC129" s="5">
        <v>121</v>
      </c>
      <c r="AD129" s="7" t="s">
        <v>154</v>
      </c>
      <c r="AE129" s="8">
        <v>35798007</v>
      </c>
      <c r="AF129" s="9">
        <v>34100</v>
      </c>
      <c r="AG129" s="10">
        <f t="shared" si="20"/>
        <v>-3.672316384180796E-2</v>
      </c>
      <c r="AH129" s="10">
        <f t="shared" si="21"/>
        <v>-3.7414435850257714E-2</v>
      </c>
      <c r="AL129" s="5">
        <v>121</v>
      </c>
      <c r="AM129" s="7" t="s">
        <v>154</v>
      </c>
      <c r="AN129" s="8">
        <v>58492759</v>
      </c>
      <c r="AO129" s="9">
        <v>133600</v>
      </c>
      <c r="AP129" s="10">
        <f t="shared" si="22"/>
        <v>-2.8363636363636369E-2</v>
      </c>
      <c r="AQ129" s="10">
        <f t="shared" si="23"/>
        <v>-2.8773656004080637E-2</v>
      </c>
      <c r="AU129" s="5">
        <v>121</v>
      </c>
      <c r="AV129" s="7" t="s">
        <v>154</v>
      </c>
      <c r="AW129" s="8">
        <v>40000000</v>
      </c>
      <c r="AX129" s="9">
        <v>2705</v>
      </c>
      <c r="AY129" s="10">
        <f t="shared" si="24"/>
        <v>-2.3465703971119134E-2</v>
      </c>
      <c r="AZ129" s="10">
        <f t="shared" si="25"/>
        <v>-2.3745407900802287E-2</v>
      </c>
      <c r="BD129" s="5">
        <v>121</v>
      </c>
      <c r="BE129" s="7" t="s">
        <v>154</v>
      </c>
      <c r="BF129" s="8">
        <v>16068000</v>
      </c>
      <c r="BG129" s="9">
        <v>8730</v>
      </c>
      <c r="BH129" s="10">
        <f t="shared" si="26"/>
        <v>-1.1441647597254523E-3</v>
      </c>
      <c r="BI129" s="10">
        <f t="shared" si="27"/>
        <v>-1.1448198159333073E-3</v>
      </c>
    </row>
    <row r="130" spans="2:61" x14ac:dyDescent="0.4">
      <c r="B130" s="5">
        <v>122</v>
      </c>
      <c r="C130" s="7" t="s">
        <v>155</v>
      </c>
      <c r="D130" s="8">
        <v>24054799</v>
      </c>
      <c r="E130" s="9">
        <v>10960</v>
      </c>
      <c r="F130" s="10">
        <f t="shared" si="14"/>
        <v>9.208103130755152E-3</v>
      </c>
      <c r="G130" s="10">
        <f t="shared" si="15"/>
        <v>9.165967014080182E-3</v>
      </c>
      <c r="K130" s="5">
        <v>122</v>
      </c>
      <c r="L130" s="7" t="s">
        <v>155</v>
      </c>
      <c r="M130" s="8">
        <v>21929315</v>
      </c>
      <c r="N130" s="9">
        <v>13340</v>
      </c>
      <c r="O130" s="10">
        <f t="shared" si="16"/>
        <v>-1.4042867701404282E-2</v>
      </c>
      <c r="P130" s="10">
        <f t="shared" si="17"/>
        <v>-1.4142401695219008E-2</v>
      </c>
      <c r="T130" s="5">
        <v>122</v>
      </c>
      <c r="U130" s="7" t="s">
        <v>155</v>
      </c>
      <c r="V130" s="8">
        <v>26014161</v>
      </c>
      <c r="W130" s="9">
        <v>7670</v>
      </c>
      <c r="X130" s="10">
        <f t="shared" si="18"/>
        <v>-2.6007802340701769E-3</v>
      </c>
      <c r="Y130" s="10">
        <f t="shared" si="19"/>
        <v>-2.6041681383877436E-3</v>
      </c>
      <c r="AC130" s="5">
        <v>122</v>
      </c>
      <c r="AD130" s="7" t="s">
        <v>155</v>
      </c>
      <c r="AE130" s="8">
        <v>35798007</v>
      </c>
      <c r="AF130" s="9">
        <v>35400</v>
      </c>
      <c r="AG130" s="10">
        <f t="shared" si="20"/>
        <v>-9.7902097902098362E-3</v>
      </c>
      <c r="AH130" s="10">
        <f t="shared" si="21"/>
        <v>-9.8384490002879407E-3</v>
      </c>
      <c r="AL130" s="5">
        <v>122</v>
      </c>
      <c r="AM130" s="7" t="s">
        <v>155</v>
      </c>
      <c r="AN130" s="8">
        <v>58492759</v>
      </c>
      <c r="AO130" s="9">
        <v>137500</v>
      </c>
      <c r="AP130" s="10">
        <f t="shared" si="22"/>
        <v>6.5885797950220315E-3</v>
      </c>
      <c r="AQ130" s="10">
        <f t="shared" si="23"/>
        <v>6.5669699699363645E-3</v>
      </c>
      <c r="AU130" s="5">
        <v>122</v>
      </c>
      <c r="AV130" s="7" t="s">
        <v>155</v>
      </c>
      <c r="AW130" s="8">
        <v>40000000</v>
      </c>
      <c r="AX130" s="9">
        <v>2770</v>
      </c>
      <c r="AY130" s="10">
        <f t="shared" si="24"/>
        <v>-1.4234875444839812E-2</v>
      </c>
      <c r="AZ130" s="10">
        <f t="shared" si="25"/>
        <v>-1.4337163146407218E-2</v>
      </c>
      <c r="BD130" s="5">
        <v>122</v>
      </c>
      <c r="BE130" s="7" t="s">
        <v>155</v>
      </c>
      <c r="BF130" s="8">
        <v>16068000</v>
      </c>
      <c r="BG130" s="9">
        <v>8740</v>
      </c>
      <c r="BH130" s="10">
        <f t="shared" si="26"/>
        <v>-1.6872890888638969E-2</v>
      </c>
      <c r="BI130" s="10">
        <f t="shared" si="27"/>
        <v>-1.701685985836917E-2</v>
      </c>
    </row>
    <row r="131" spans="2:61" x14ac:dyDescent="0.4">
      <c r="B131" s="5">
        <v>123</v>
      </c>
      <c r="C131" s="7" t="s">
        <v>156</v>
      </c>
      <c r="D131" s="8">
        <v>24054799</v>
      </c>
      <c r="E131" s="9">
        <v>10860</v>
      </c>
      <c r="F131" s="10">
        <f t="shared" si="14"/>
        <v>-2.425876010781669E-2</v>
      </c>
      <c r="G131" s="10">
        <f t="shared" si="15"/>
        <v>-2.4557850781664062E-2</v>
      </c>
      <c r="K131" s="5">
        <v>123</v>
      </c>
      <c r="L131" s="7" t="s">
        <v>156</v>
      </c>
      <c r="M131" s="8">
        <v>21929315</v>
      </c>
      <c r="N131" s="9">
        <v>13530</v>
      </c>
      <c r="O131" s="10">
        <f t="shared" si="16"/>
        <v>2.4224072672218044E-2</v>
      </c>
      <c r="P131" s="10">
        <f t="shared" si="17"/>
        <v>2.3935323648462747E-2</v>
      </c>
      <c r="T131" s="5">
        <v>123</v>
      </c>
      <c r="U131" s="7" t="s">
        <v>156</v>
      </c>
      <c r="V131" s="8">
        <v>26014161</v>
      </c>
      <c r="W131" s="9">
        <v>7690</v>
      </c>
      <c r="X131" s="10">
        <f t="shared" si="18"/>
        <v>-1.0296010296010349E-2</v>
      </c>
      <c r="Y131" s="10">
        <f t="shared" si="19"/>
        <v>-1.0349380862003521E-2</v>
      </c>
      <c r="AC131" s="5">
        <v>123</v>
      </c>
      <c r="AD131" s="7" t="s">
        <v>156</v>
      </c>
      <c r="AE131" s="8">
        <v>35798007</v>
      </c>
      <c r="AF131" s="9">
        <v>35750</v>
      </c>
      <c r="AG131" s="10">
        <f t="shared" si="20"/>
        <v>2.2889842632331847E-2</v>
      </c>
      <c r="AH131" s="10">
        <f t="shared" si="21"/>
        <v>2.2631800460197343E-2</v>
      </c>
      <c r="AL131" s="5">
        <v>123</v>
      </c>
      <c r="AM131" s="7" t="s">
        <v>156</v>
      </c>
      <c r="AN131" s="8">
        <v>58492759</v>
      </c>
      <c r="AO131" s="9">
        <v>136600</v>
      </c>
      <c r="AP131" s="10">
        <f t="shared" si="22"/>
        <v>-6.545454545454521E-3</v>
      </c>
      <c r="AQ131" s="10">
        <f t="shared" si="23"/>
        <v>-6.5669699699362708E-3</v>
      </c>
      <c r="AU131" s="5">
        <v>123</v>
      </c>
      <c r="AV131" s="7" t="s">
        <v>156</v>
      </c>
      <c r="AW131" s="8">
        <v>40000000</v>
      </c>
      <c r="AX131" s="9">
        <v>2810</v>
      </c>
      <c r="AY131" s="10">
        <f t="shared" si="24"/>
        <v>1.7825311942958333E-3</v>
      </c>
      <c r="AZ131" s="10">
        <f t="shared" si="25"/>
        <v>1.780944370994692E-3</v>
      </c>
      <c r="BD131" s="5">
        <v>123</v>
      </c>
      <c r="BE131" s="7" t="s">
        <v>156</v>
      </c>
      <c r="BF131" s="8">
        <v>16068000</v>
      </c>
      <c r="BG131" s="9">
        <v>8890</v>
      </c>
      <c r="BH131" s="10">
        <f t="shared" si="26"/>
        <v>-3.0534351145038219E-2</v>
      </c>
      <c r="BI131" s="10">
        <f t="shared" si="27"/>
        <v>-3.1010236742560322E-2</v>
      </c>
    </row>
    <row r="132" spans="2:61" x14ac:dyDescent="0.4">
      <c r="B132" s="5">
        <v>124</v>
      </c>
      <c r="C132" s="7" t="s">
        <v>157</v>
      </c>
      <c r="D132" s="8">
        <v>24054799</v>
      </c>
      <c r="E132" s="9">
        <v>11130</v>
      </c>
      <c r="F132" s="10">
        <f t="shared" si="14"/>
        <v>-3.0487804878048808E-2</v>
      </c>
      <c r="G132" s="10">
        <f t="shared" si="15"/>
        <v>-3.0962225603966925E-2</v>
      </c>
      <c r="K132" s="5">
        <v>124</v>
      </c>
      <c r="L132" s="7" t="s">
        <v>157</v>
      </c>
      <c r="M132" s="8">
        <v>21929315</v>
      </c>
      <c r="N132" s="9">
        <v>13210</v>
      </c>
      <c r="O132" s="10">
        <f t="shared" si="16"/>
        <v>-1.0486891385767749E-2</v>
      </c>
      <c r="P132" s="10">
        <f t="shared" si="17"/>
        <v>-1.0542266312024545E-2</v>
      </c>
      <c r="T132" s="5">
        <v>124</v>
      </c>
      <c r="U132" s="7" t="s">
        <v>157</v>
      </c>
      <c r="V132" s="8">
        <v>26014161</v>
      </c>
      <c r="W132" s="9">
        <v>7770</v>
      </c>
      <c r="X132" s="10">
        <f t="shared" si="18"/>
        <v>-1.2853470437017567E-3</v>
      </c>
      <c r="Y132" s="10">
        <f t="shared" si="19"/>
        <v>-1.2861738107441186E-3</v>
      </c>
      <c r="AC132" s="5">
        <v>124</v>
      </c>
      <c r="AD132" s="7" t="s">
        <v>157</v>
      </c>
      <c r="AE132" s="8">
        <v>35798007</v>
      </c>
      <c r="AF132" s="9">
        <v>34950</v>
      </c>
      <c r="AG132" s="10">
        <f t="shared" si="20"/>
        <v>-9.9150141643059575E-3</v>
      </c>
      <c r="AH132" s="10">
        <f t="shared" si="21"/>
        <v>-9.9644952594318287E-3</v>
      </c>
      <c r="AL132" s="5">
        <v>124</v>
      </c>
      <c r="AM132" s="7" t="s">
        <v>157</v>
      </c>
      <c r="AN132" s="8">
        <v>58492759</v>
      </c>
      <c r="AO132" s="9">
        <v>137500</v>
      </c>
      <c r="AP132" s="10">
        <f t="shared" si="22"/>
        <v>5.8522311631310497E-3</v>
      </c>
      <c r="AQ132" s="10">
        <f t="shared" si="23"/>
        <v>5.8351733767222132E-3</v>
      </c>
      <c r="AU132" s="5">
        <v>124</v>
      </c>
      <c r="AV132" s="7" t="s">
        <v>157</v>
      </c>
      <c r="AW132" s="8">
        <v>40000000</v>
      </c>
      <c r="AX132" s="9">
        <v>2805</v>
      </c>
      <c r="AY132" s="10">
        <f t="shared" si="24"/>
        <v>-3.5523978685613189E-3</v>
      </c>
      <c r="AZ132" s="10">
        <f t="shared" si="25"/>
        <v>-3.5587226169941063E-3</v>
      </c>
      <c r="BD132" s="5">
        <v>124</v>
      </c>
      <c r="BE132" s="7" t="s">
        <v>157</v>
      </c>
      <c r="BF132" s="8">
        <v>16068000</v>
      </c>
      <c r="BG132" s="9">
        <v>9170</v>
      </c>
      <c r="BH132" s="10">
        <f t="shared" si="26"/>
        <v>-2.1762785636560977E-3</v>
      </c>
      <c r="BI132" s="10">
        <f t="shared" si="27"/>
        <v>-2.1786500992221499E-3</v>
      </c>
    </row>
    <row r="133" spans="2:61" x14ac:dyDescent="0.4">
      <c r="B133" s="5">
        <v>125</v>
      </c>
      <c r="C133" s="7" t="s">
        <v>158</v>
      </c>
      <c r="D133" s="8">
        <v>24054799</v>
      </c>
      <c r="E133" s="9">
        <v>11480</v>
      </c>
      <c r="F133" s="10">
        <f t="shared" si="14"/>
        <v>3.7974683544303778E-2</v>
      </c>
      <c r="G133" s="10">
        <f t="shared" si="15"/>
        <v>3.72713947972316E-2</v>
      </c>
      <c r="K133" s="5">
        <v>125</v>
      </c>
      <c r="L133" s="7" t="s">
        <v>158</v>
      </c>
      <c r="M133" s="8">
        <v>21929315</v>
      </c>
      <c r="N133" s="9">
        <v>13350</v>
      </c>
      <c r="O133" s="10">
        <f t="shared" si="16"/>
        <v>3.2482598607888713E-2</v>
      </c>
      <c r="P133" s="10">
        <f t="shared" si="17"/>
        <v>3.1966192062492502E-2</v>
      </c>
      <c r="T133" s="5">
        <v>125</v>
      </c>
      <c r="U133" s="7" t="s">
        <v>158</v>
      </c>
      <c r="V133" s="8">
        <v>26014161</v>
      </c>
      <c r="W133" s="9">
        <v>7780</v>
      </c>
      <c r="X133" s="10">
        <f t="shared" si="18"/>
        <v>3.5952063914780341E-2</v>
      </c>
      <c r="Y133" s="10">
        <f t="shared" si="19"/>
        <v>3.5320872414256903E-2</v>
      </c>
      <c r="AC133" s="5">
        <v>125</v>
      </c>
      <c r="AD133" s="7" t="s">
        <v>158</v>
      </c>
      <c r="AE133" s="8">
        <v>35798007</v>
      </c>
      <c r="AF133" s="9">
        <v>35300</v>
      </c>
      <c r="AG133" s="10">
        <f t="shared" si="20"/>
        <v>3.0656934306569239E-2</v>
      </c>
      <c r="AH133" s="10">
        <f t="shared" si="21"/>
        <v>3.0196399231016687E-2</v>
      </c>
      <c r="AL133" s="5">
        <v>125</v>
      </c>
      <c r="AM133" s="7" t="s">
        <v>158</v>
      </c>
      <c r="AN133" s="8">
        <v>58492759</v>
      </c>
      <c r="AO133" s="9">
        <v>136700</v>
      </c>
      <c r="AP133" s="10">
        <f t="shared" si="22"/>
        <v>4.1920731707317138E-2</v>
      </c>
      <c r="AQ133" s="10">
        <f t="shared" si="23"/>
        <v>4.1065867219915272E-2</v>
      </c>
      <c r="AU133" s="5">
        <v>125</v>
      </c>
      <c r="AV133" s="7" t="s">
        <v>158</v>
      </c>
      <c r="AW133" s="8">
        <v>40000000</v>
      </c>
      <c r="AX133" s="9">
        <v>2815</v>
      </c>
      <c r="AY133" s="10">
        <f t="shared" si="24"/>
        <v>1.2589928057553879E-2</v>
      </c>
      <c r="AZ133" s="10">
        <f t="shared" si="25"/>
        <v>1.2511333889107929E-2</v>
      </c>
      <c r="BD133" s="5">
        <v>125</v>
      </c>
      <c r="BE133" s="7" t="s">
        <v>158</v>
      </c>
      <c r="BF133" s="8">
        <v>16068000</v>
      </c>
      <c r="BG133" s="9">
        <v>9190</v>
      </c>
      <c r="BH133" s="10">
        <f t="shared" si="26"/>
        <v>0.10059880239520957</v>
      </c>
      <c r="BI133" s="10">
        <f t="shared" si="27"/>
        <v>9.5854397504831559E-2</v>
      </c>
    </row>
    <row r="134" spans="2:61" x14ac:dyDescent="0.4">
      <c r="B134" s="5">
        <v>126</v>
      </c>
      <c r="C134" s="7" t="s">
        <v>159</v>
      </c>
      <c r="D134" s="8">
        <v>24054799</v>
      </c>
      <c r="E134" s="9">
        <v>11060</v>
      </c>
      <c r="F134" s="10">
        <f t="shared" si="14"/>
        <v>-2.0372010628875059E-2</v>
      </c>
      <c r="G134" s="10">
        <f t="shared" si="15"/>
        <v>-2.0582382067381857E-2</v>
      </c>
      <c r="K134" s="5">
        <v>126</v>
      </c>
      <c r="L134" s="7" t="s">
        <v>159</v>
      </c>
      <c r="M134" s="8">
        <v>21929315</v>
      </c>
      <c r="N134" s="9">
        <v>12930</v>
      </c>
      <c r="O134" s="10">
        <f t="shared" si="16"/>
        <v>-2.1936459909228434E-2</v>
      </c>
      <c r="P134" s="10">
        <f t="shared" si="17"/>
        <v>-2.218064163977411E-2</v>
      </c>
      <c r="T134" s="5">
        <v>126</v>
      </c>
      <c r="U134" s="7" t="s">
        <v>159</v>
      </c>
      <c r="V134" s="8">
        <v>26014161</v>
      </c>
      <c r="W134" s="9">
        <v>7510</v>
      </c>
      <c r="X134" s="10">
        <f t="shared" si="18"/>
        <v>-7.9260237780713894E-3</v>
      </c>
      <c r="Y134" s="10">
        <f t="shared" si="19"/>
        <v>-7.9576016733140884E-3</v>
      </c>
      <c r="AC134" s="5">
        <v>126</v>
      </c>
      <c r="AD134" s="7" t="s">
        <v>159</v>
      </c>
      <c r="AE134" s="8">
        <v>35798007</v>
      </c>
      <c r="AF134" s="9">
        <v>34250</v>
      </c>
      <c r="AG134" s="10">
        <f t="shared" si="20"/>
        <v>-1.4577259475219151E-3</v>
      </c>
      <c r="AH134" s="10">
        <f t="shared" si="21"/>
        <v>-1.4587894636599842E-3</v>
      </c>
      <c r="AL134" s="5">
        <v>126</v>
      </c>
      <c r="AM134" s="7" t="s">
        <v>159</v>
      </c>
      <c r="AN134" s="8">
        <v>58492759</v>
      </c>
      <c r="AO134" s="9">
        <v>131200</v>
      </c>
      <c r="AP134" s="10">
        <f t="shared" si="22"/>
        <v>-1.2791572610985735E-2</v>
      </c>
      <c r="AQ134" s="10">
        <f t="shared" si="23"/>
        <v>-1.2874089209211011E-2</v>
      </c>
      <c r="AU134" s="5">
        <v>126</v>
      </c>
      <c r="AV134" s="7" t="s">
        <v>159</v>
      </c>
      <c r="AW134" s="8">
        <v>40000000</v>
      </c>
      <c r="AX134" s="9">
        <v>2780</v>
      </c>
      <c r="AY134" s="10">
        <f t="shared" si="24"/>
        <v>-1.7667844522968212E-2</v>
      </c>
      <c r="AZ134" s="10">
        <f t="shared" si="25"/>
        <v>-1.7825783952600573E-2</v>
      </c>
      <c r="BD134" s="5">
        <v>126</v>
      </c>
      <c r="BE134" s="7" t="s">
        <v>159</v>
      </c>
      <c r="BF134" s="8">
        <v>16068000</v>
      </c>
      <c r="BG134" s="9">
        <v>8350</v>
      </c>
      <c r="BH134" s="10">
        <f t="shared" si="26"/>
        <v>-2.5670945157526215E-2</v>
      </c>
      <c r="BI134" s="10">
        <f t="shared" si="27"/>
        <v>-2.6006193746924266E-2</v>
      </c>
    </row>
    <row r="135" spans="2:61" x14ac:dyDescent="0.4">
      <c r="B135" s="5">
        <v>127</v>
      </c>
      <c r="C135" s="7" t="s">
        <v>160</v>
      </c>
      <c r="D135" s="8">
        <v>24054799</v>
      </c>
      <c r="E135" s="9">
        <v>11290</v>
      </c>
      <c r="F135" s="10">
        <f t="shared" si="14"/>
        <v>-2.5043177892918878E-2</v>
      </c>
      <c r="G135" s="10">
        <f t="shared" si="15"/>
        <v>-2.5362093983278589E-2</v>
      </c>
      <c r="K135" s="5">
        <v>127</v>
      </c>
      <c r="L135" s="7" t="s">
        <v>160</v>
      </c>
      <c r="M135" s="8">
        <v>21929315</v>
      </c>
      <c r="N135" s="9">
        <v>13220</v>
      </c>
      <c r="O135" s="10">
        <f t="shared" si="16"/>
        <v>-3.4331628926223545E-2</v>
      </c>
      <c r="P135" s="10">
        <f t="shared" si="17"/>
        <v>-3.493480487681732E-2</v>
      </c>
      <c r="T135" s="5">
        <v>127</v>
      </c>
      <c r="U135" s="7" t="s">
        <v>160</v>
      </c>
      <c r="V135" s="8">
        <v>26014161</v>
      </c>
      <c r="W135" s="9">
        <v>7570</v>
      </c>
      <c r="X135" s="10">
        <f t="shared" si="18"/>
        <v>-2.1963824289405687E-2</v>
      </c>
      <c r="Y135" s="10">
        <f t="shared" si="19"/>
        <v>-2.2208620152278341E-2</v>
      </c>
      <c r="AC135" s="5">
        <v>127</v>
      </c>
      <c r="AD135" s="7" t="s">
        <v>160</v>
      </c>
      <c r="AE135" s="8">
        <v>35798007</v>
      </c>
      <c r="AF135" s="9">
        <v>34300</v>
      </c>
      <c r="AG135" s="10">
        <f t="shared" si="20"/>
        <v>-8.6705202312138407E-3</v>
      </c>
      <c r="AH135" s="10">
        <f t="shared" si="21"/>
        <v>-8.7083278917843079E-3</v>
      </c>
      <c r="AL135" s="5">
        <v>127</v>
      </c>
      <c r="AM135" s="7" t="s">
        <v>160</v>
      </c>
      <c r="AN135" s="8">
        <v>58492759</v>
      </c>
      <c r="AO135" s="9">
        <v>132900</v>
      </c>
      <c r="AP135" s="10">
        <f t="shared" si="22"/>
        <v>-4.2507204610951033E-2</v>
      </c>
      <c r="AQ135" s="10">
        <f t="shared" si="23"/>
        <v>-4.3437082353504505E-2</v>
      </c>
      <c r="AU135" s="5">
        <v>127</v>
      </c>
      <c r="AV135" s="7" t="s">
        <v>160</v>
      </c>
      <c r="AW135" s="8">
        <v>40000000</v>
      </c>
      <c r="AX135" s="9">
        <v>2830</v>
      </c>
      <c r="AY135" s="10">
        <f t="shared" si="24"/>
        <v>5.3285968028418118E-3</v>
      </c>
      <c r="AZ135" s="10">
        <f t="shared" si="25"/>
        <v>5.3144500634924458E-3</v>
      </c>
      <c r="BD135" s="5">
        <v>127</v>
      </c>
      <c r="BE135" s="7" t="s">
        <v>160</v>
      </c>
      <c r="BF135" s="8">
        <v>16068000</v>
      </c>
      <c r="BG135" s="9">
        <v>8570</v>
      </c>
      <c r="BH135" s="10">
        <f t="shared" si="26"/>
        <v>-1.8327605956471982E-2</v>
      </c>
      <c r="BI135" s="10">
        <f t="shared" si="27"/>
        <v>-1.8497637241822462E-2</v>
      </c>
    </row>
    <row r="136" spans="2:61" x14ac:dyDescent="0.4">
      <c r="B136" s="5">
        <v>128</v>
      </c>
      <c r="C136" s="7" t="s">
        <v>161</v>
      </c>
      <c r="D136" s="8">
        <v>24054799</v>
      </c>
      <c r="E136" s="9">
        <v>11580</v>
      </c>
      <c r="F136" s="10">
        <f t="shared" si="14"/>
        <v>-5.1597051597051635E-2</v>
      </c>
      <c r="G136" s="10">
        <f t="shared" si="15"/>
        <v>-5.2975815977764171E-2</v>
      </c>
      <c r="K136" s="5">
        <v>128</v>
      </c>
      <c r="L136" s="7" t="s">
        <v>161</v>
      </c>
      <c r="M136" s="8">
        <v>21929315</v>
      </c>
      <c r="N136" s="9">
        <v>13690</v>
      </c>
      <c r="O136" s="10">
        <f t="shared" si="16"/>
        <v>-2.28408279800143E-2</v>
      </c>
      <c r="P136" s="10">
        <f t="shared" si="17"/>
        <v>-2.3105721048558139E-2</v>
      </c>
      <c r="T136" s="5">
        <v>128</v>
      </c>
      <c r="U136" s="7" t="s">
        <v>161</v>
      </c>
      <c r="V136" s="8">
        <v>26014161</v>
      </c>
      <c r="W136" s="9">
        <v>7740</v>
      </c>
      <c r="X136" s="10">
        <f t="shared" si="18"/>
        <v>-2.6415094339622636E-2</v>
      </c>
      <c r="Y136" s="10">
        <f t="shared" si="19"/>
        <v>-2.677024106460478E-2</v>
      </c>
      <c r="AC136" s="5">
        <v>128</v>
      </c>
      <c r="AD136" s="7" t="s">
        <v>161</v>
      </c>
      <c r="AE136" s="8">
        <v>35798007</v>
      </c>
      <c r="AF136" s="9">
        <v>34600</v>
      </c>
      <c r="AG136" s="10">
        <f t="shared" si="20"/>
        <v>-4.1551246537396169E-2</v>
      </c>
      <c r="AH136" s="10">
        <f t="shared" si="21"/>
        <v>-4.2439183275156715E-2</v>
      </c>
      <c r="AL136" s="5">
        <v>128</v>
      </c>
      <c r="AM136" s="7" t="s">
        <v>161</v>
      </c>
      <c r="AN136" s="8">
        <v>58492759</v>
      </c>
      <c r="AO136" s="9">
        <v>138800</v>
      </c>
      <c r="AP136" s="10">
        <f t="shared" si="22"/>
        <v>-4.7357584076870296E-2</v>
      </c>
      <c r="AQ136" s="10">
        <f t="shared" si="23"/>
        <v>-4.8515665128455038E-2</v>
      </c>
      <c r="AU136" s="5">
        <v>128</v>
      </c>
      <c r="AV136" s="7" t="s">
        <v>161</v>
      </c>
      <c r="AW136" s="8">
        <v>40000000</v>
      </c>
      <c r="AX136" s="9">
        <v>2815</v>
      </c>
      <c r="AY136" s="10">
        <f t="shared" si="24"/>
        <v>-4.8986486486486513E-2</v>
      </c>
      <c r="AZ136" s="10">
        <f t="shared" si="25"/>
        <v>-5.0227006744315329E-2</v>
      </c>
      <c r="BD136" s="5">
        <v>128</v>
      </c>
      <c r="BE136" s="7" t="s">
        <v>161</v>
      </c>
      <c r="BF136" s="8">
        <v>16068000</v>
      </c>
      <c r="BG136" s="9">
        <v>8730</v>
      </c>
      <c r="BH136" s="10">
        <f t="shared" si="26"/>
        <v>-6.0279870828848225E-2</v>
      </c>
      <c r="BI136" s="10">
        <f t="shared" si="27"/>
        <v>-6.2173182974236317E-2</v>
      </c>
    </row>
    <row r="137" spans="2:61" x14ac:dyDescent="0.4">
      <c r="B137" s="5">
        <v>129</v>
      </c>
      <c r="C137" s="7" t="s">
        <v>162</v>
      </c>
      <c r="D137" s="8">
        <v>24054799</v>
      </c>
      <c r="E137" s="9">
        <v>12210</v>
      </c>
      <c r="F137" s="10">
        <f t="shared" ref="F137:F187" si="28">(E137/E138)-1</f>
        <v>1.4962593516209433E-2</v>
      </c>
      <c r="G137" s="10">
        <f t="shared" ref="G137:G187" si="29">LN(E137/E138)</f>
        <v>1.485175813602576E-2</v>
      </c>
      <c r="K137" s="5">
        <v>129</v>
      </c>
      <c r="L137" s="7" t="s">
        <v>162</v>
      </c>
      <c r="M137" s="8">
        <v>21929315</v>
      </c>
      <c r="N137" s="9">
        <v>14010</v>
      </c>
      <c r="O137" s="10">
        <f t="shared" ref="O137:O187" si="30">(N137/N138)-1</f>
        <v>-2.846975088967918E-3</v>
      </c>
      <c r="P137" s="10">
        <f t="shared" ref="P137:P187" si="31">LN(N137/N138)</f>
        <v>-2.8510354308390832E-3</v>
      </c>
      <c r="T137" s="5">
        <v>129</v>
      </c>
      <c r="U137" s="7" t="s">
        <v>162</v>
      </c>
      <c r="V137" s="8">
        <v>26014161</v>
      </c>
      <c r="W137" s="9">
        <v>7950</v>
      </c>
      <c r="X137" s="10">
        <f t="shared" ref="X137:X187" si="32">(W137/W138)-1</f>
        <v>-1.6089108910891103E-2</v>
      </c>
      <c r="Y137" s="10">
        <f t="shared" ref="Y137:Y187" si="33">LN(W137/W138)</f>
        <v>-1.6219943866763495E-2</v>
      </c>
      <c r="AC137" s="5">
        <v>129</v>
      </c>
      <c r="AD137" s="7" t="s">
        <v>162</v>
      </c>
      <c r="AE137" s="8">
        <v>35798007</v>
      </c>
      <c r="AF137" s="9">
        <v>36100</v>
      </c>
      <c r="AG137" s="10">
        <f t="shared" ref="AG137:AG187" si="34">(AF137/AF138)-1</f>
        <v>-6.1118335500650156E-2</v>
      </c>
      <c r="AH137" s="10">
        <f t="shared" ref="AH137:AH187" si="35">LN(AF137/AF138)</f>
        <v>-6.3065830612817703E-2</v>
      </c>
      <c r="AL137" s="5">
        <v>129</v>
      </c>
      <c r="AM137" s="7" t="s">
        <v>162</v>
      </c>
      <c r="AN137" s="8">
        <v>58492759</v>
      </c>
      <c r="AO137" s="9">
        <v>145700</v>
      </c>
      <c r="AP137" s="10">
        <f t="shared" ref="AP137:AP187" si="36">(AO137/AO138)-1</f>
        <v>2.5334271639690265E-2</v>
      </c>
      <c r="AQ137" s="10">
        <f t="shared" ref="AQ137:AQ187" si="37">LN(AO137/AO138)</f>
        <v>2.5018678098104104E-2</v>
      </c>
      <c r="AU137" s="5">
        <v>129</v>
      </c>
      <c r="AV137" s="7" t="s">
        <v>162</v>
      </c>
      <c r="AW137" s="8">
        <v>40000000</v>
      </c>
      <c r="AX137" s="9">
        <v>2960</v>
      </c>
      <c r="AY137" s="10">
        <f t="shared" ref="AY137:AY187" si="38">(AX137/AX138)-1</f>
        <v>-3.4257748776509001E-2</v>
      </c>
      <c r="AZ137" s="10">
        <f t="shared" ref="AZ137:AZ187" si="39">LN(AX137/AX138)</f>
        <v>-3.4858301052205748E-2</v>
      </c>
      <c r="BD137" s="5">
        <v>129</v>
      </c>
      <c r="BE137" s="7" t="s">
        <v>162</v>
      </c>
      <c r="BF137" s="8">
        <v>16068000</v>
      </c>
      <c r="BG137" s="9">
        <v>9290</v>
      </c>
      <c r="BH137" s="10">
        <f t="shared" ref="BH137:BH187" si="40">(BG137/BG138)-1</f>
        <v>1.0775862068965747E-3</v>
      </c>
      <c r="BI137" s="10">
        <f t="shared" ref="BI137:BI187" si="41">LN(BG137/BG138)</f>
        <v>1.0770060276379661E-3</v>
      </c>
    </row>
    <row r="138" spans="2:61" x14ac:dyDescent="0.4">
      <c r="B138" s="5">
        <v>130</v>
      </c>
      <c r="C138" s="7" t="s">
        <v>163</v>
      </c>
      <c r="D138" s="8">
        <v>24054799</v>
      </c>
      <c r="E138" s="9">
        <v>12030</v>
      </c>
      <c r="F138" s="10">
        <f t="shared" si="28"/>
        <v>-5.3501180173092022E-2</v>
      </c>
      <c r="G138" s="10">
        <f t="shared" si="29"/>
        <v>-5.4985555214775141E-2</v>
      </c>
      <c r="K138" s="5">
        <v>130</v>
      </c>
      <c r="L138" s="7" t="s">
        <v>163</v>
      </c>
      <c r="M138" s="8">
        <v>21929315</v>
      </c>
      <c r="N138" s="9">
        <v>14050</v>
      </c>
      <c r="O138" s="10">
        <f t="shared" si="30"/>
        <v>1.4440433212996373E-2</v>
      </c>
      <c r="P138" s="10">
        <f t="shared" si="31"/>
        <v>1.4337163146407249E-2</v>
      </c>
      <c r="T138" s="5">
        <v>130</v>
      </c>
      <c r="U138" s="7" t="s">
        <v>163</v>
      </c>
      <c r="V138" s="8">
        <v>26014161</v>
      </c>
      <c r="W138" s="9">
        <v>8080</v>
      </c>
      <c r="X138" s="10">
        <f t="shared" si="32"/>
        <v>2.9299363057324834E-2</v>
      </c>
      <c r="Y138" s="10">
        <f t="shared" si="33"/>
        <v>2.887834073868694E-2</v>
      </c>
      <c r="AC138" s="5">
        <v>130</v>
      </c>
      <c r="AD138" s="7" t="s">
        <v>163</v>
      </c>
      <c r="AE138" s="8">
        <v>35798007</v>
      </c>
      <c r="AF138" s="9">
        <v>38450</v>
      </c>
      <c r="AG138" s="10">
        <f t="shared" si="34"/>
        <v>-2.2871664548919979E-2</v>
      </c>
      <c r="AH138" s="10">
        <f t="shared" si="35"/>
        <v>-2.3137278911759283E-2</v>
      </c>
      <c r="AL138" s="5">
        <v>130</v>
      </c>
      <c r="AM138" s="7" t="s">
        <v>163</v>
      </c>
      <c r="AN138" s="8">
        <v>58492759</v>
      </c>
      <c r="AO138" s="9">
        <v>142100</v>
      </c>
      <c r="AP138" s="10">
        <f t="shared" si="36"/>
        <v>-2.3367697594501746E-2</v>
      </c>
      <c r="AQ138" s="10">
        <f t="shared" si="37"/>
        <v>-2.364505150849228E-2</v>
      </c>
      <c r="AU138" s="5">
        <v>130</v>
      </c>
      <c r="AV138" s="7" t="s">
        <v>163</v>
      </c>
      <c r="AW138" s="8">
        <v>40000000</v>
      </c>
      <c r="AX138" s="9">
        <v>3065</v>
      </c>
      <c r="AY138" s="10">
        <f t="shared" si="38"/>
        <v>-4.8136645962732927E-2</v>
      </c>
      <c r="AZ138" s="10">
        <f t="shared" si="39"/>
        <v>-4.9333790168142225E-2</v>
      </c>
      <c r="BD138" s="5">
        <v>130</v>
      </c>
      <c r="BE138" s="7" t="s">
        <v>163</v>
      </c>
      <c r="BF138" s="8">
        <v>16068000</v>
      </c>
      <c r="BG138" s="9">
        <v>9280</v>
      </c>
      <c r="BH138" s="10">
        <f t="shared" si="40"/>
        <v>-1.9027484143763207E-2</v>
      </c>
      <c r="BI138" s="10">
        <f t="shared" si="41"/>
        <v>-1.9210836265677697E-2</v>
      </c>
    </row>
    <row r="139" spans="2:61" x14ac:dyDescent="0.4">
      <c r="B139" s="5">
        <v>131</v>
      </c>
      <c r="C139" s="7" t="s">
        <v>164</v>
      </c>
      <c r="D139" s="8">
        <v>24054799</v>
      </c>
      <c r="E139" s="9">
        <v>12710</v>
      </c>
      <c r="F139" s="10">
        <f t="shared" si="28"/>
        <v>0.18122676579925656</v>
      </c>
      <c r="G139" s="10">
        <f t="shared" si="29"/>
        <v>0.16655353046772436</v>
      </c>
      <c r="K139" s="5">
        <v>131</v>
      </c>
      <c r="L139" s="7" t="s">
        <v>164</v>
      </c>
      <c r="M139" s="8">
        <v>21929315</v>
      </c>
      <c r="N139" s="9">
        <v>13850</v>
      </c>
      <c r="O139" s="10">
        <f t="shared" si="30"/>
        <v>5.7251908396946494E-2</v>
      </c>
      <c r="P139" s="10">
        <f t="shared" si="31"/>
        <v>5.5673002426241576E-2</v>
      </c>
      <c r="T139" s="5">
        <v>131</v>
      </c>
      <c r="U139" s="7" t="s">
        <v>164</v>
      </c>
      <c r="V139" s="8">
        <v>26014161</v>
      </c>
      <c r="W139" s="9">
        <v>7850</v>
      </c>
      <c r="X139" s="10">
        <f t="shared" si="32"/>
        <v>4.9465240641711317E-2</v>
      </c>
      <c r="Y139" s="10">
        <f t="shared" si="33"/>
        <v>4.8280739807931274E-2</v>
      </c>
      <c r="AC139" s="5">
        <v>131</v>
      </c>
      <c r="AD139" s="7" t="s">
        <v>164</v>
      </c>
      <c r="AE139" s="8">
        <v>35798007</v>
      </c>
      <c r="AF139" s="9">
        <v>39350</v>
      </c>
      <c r="AG139" s="10">
        <f t="shared" si="34"/>
        <v>2.3407022106632036E-2</v>
      </c>
      <c r="AH139" s="10">
        <f t="shared" si="35"/>
        <v>2.3137278911759297E-2</v>
      </c>
      <c r="AL139" s="5">
        <v>131</v>
      </c>
      <c r="AM139" s="7" t="s">
        <v>164</v>
      </c>
      <c r="AN139" s="8">
        <v>58492759</v>
      </c>
      <c r="AO139" s="9">
        <v>145500</v>
      </c>
      <c r="AP139" s="10">
        <f t="shared" si="36"/>
        <v>9.152288072018E-2</v>
      </c>
      <c r="AQ139" s="10">
        <f t="shared" si="37"/>
        <v>8.7573859426884171E-2</v>
      </c>
      <c r="AU139" s="5">
        <v>131</v>
      </c>
      <c r="AV139" s="7" t="s">
        <v>164</v>
      </c>
      <c r="AW139" s="8">
        <v>40000000</v>
      </c>
      <c r="AX139" s="9">
        <v>3220</v>
      </c>
      <c r="AY139" s="10">
        <f t="shared" si="38"/>
        <v>0.29838709677419351</v>
      </c>
      <c r="AZ139" s="10">
        <f t="shared" si="39"/>
        <v>0.26112279937942612</v>
      </c>
      <c r="BD139" s="5">
        <v>131</v>
      </c>
      <c r="BE139" s="7" t="s">
        <v>164</v>
      </c>
      <c r="BF139" s="8">
        <v>16068000</v>
      </c>
      <c r="BG139" s="9">
        <v>9460</v>
      </c>
      <c r="BH139" s="10">
        <f t="shared" si="40"/>
        <v>0.2994505494505495</v>
      </c>
      <c r="BI139" s="10">
        <f t="shared" si="41"/>
        <v>0.26194152085519234</v>
      </c>
    </row>
    <row r="140" spans="2:61" x14ac:dyDescent="0.4">
      <c r="B140" s="5">
        <v>132</v>
      </c>
      <c r="C140" s="7" t="s">
        <v>165</v>
      </c>
      <c r="D140" s="8">
        <v>24054799</v>
      </c>
      <c r="E140" s="9">
        <v>10760</v>
      </c>
      <c r="F140" s="10">
        <f t="shared" si="28"/>
        <v>-1.5553522415370558E-2</v>
      </c>
      <c r="G140" s="10">
        <f t="shared" si="29"/>
        <v>-1.5675747454808854E-2</v>
      </c>
      <c r="K140" s="5">
        <v>132</v>
      </c>
      <c r="L140" s="7" t="s">
        <v>165</v>
      </c>
      <c r="M140" s="8">
        <v>21929315</v>
      </c>
      <c r="N140" s="9">
        <v>13100</v>
      </c>
      <c r="O140" s="10">
        <f t="shared" si="30"/>
        <v>-7.6277650648359785E-4</v>
      </c>
      <c r="P140" s="10">
        <f t="shared" si="31"/>
        <v>-7.6306756850261161E-4</v>
      </c>
      <c r="T140" s="5">
        <v>132</v>
      </c>
      <c r="U140" s="7" t="s">
        <v>165</v>
      </c>
      <c r="V140" s="8">
        <v>26014161</v>
      </c>
      <c r="W140" s="9">
        <v>7480</v>
      </c>
      <c r="X140" s="10">
        <f t="shared" si="32"/>
        <v>1.3550135501354976E-2</v>
      </c>
      <c r="Y140" s="10">
        <f t="shared" si="33"/>
        <v>1.3459153374004711E-2</v>
      </c>
      <c r="AC140" s="5">
        <v>132</v>
      </c>
      <c r="AD140" s="7" t="s">
        <v>165</v>
      </c>
      <c r="AE140" s="8">
        <v>35798007</v>
      </c>
      <c r="AF140" s="9">
        <v>38450</v>
      </c>
      <c r="AG140" s="10">
        <f t="shared" si="34"/>
        <v>-1.0296010296010349E-2</v>
      </c>
      <c r="AH140" s="10">
        <f t="shared" si="35"/>
        <v>-1.0349380862003521E-2</v>
      </c>
      <c r="AL140" s="5">
        <v>132</v>
      </c>
      <c r="AM140" s="7" t="s">
        <v>165</v>
      </c>
      <c r="AN140" s="8">
        <v>58492759</v>
      </c>
      <c r="AO140" s="9">
        <v>133300</v>
      </c>
      <c r="AP140" s="10">
        <f t="shared" si="36"/>
        <v>1.1380880121396153E-2</v>
      </c>
      <c r="AQ140" s="10">
        <f t="shared" si="37"/>
        <v>1.1316605116256238E-2</v>
      </c>
      <c r="AU140" s="5">
        <v>132</v>
      </c>
      <c r="AV140" s="7" t="s">
        <v>165</v>
      </c>
      <c r="AW140" s="8">
        <v>40000000</v>
      </c>
      <c r="AX140" s="9">
        <v>2480</v>
      </c>
      <c r="AY140" s="10">
        <f t="shared" si="38"/>
        <v>1.2244897959183598E-2</v>
      </c>
      <c r="AZ140" s="10">
        <f t="shared" si="39"/>
        <v>1.2170535620255114E-2</v>
      </c>
      <c r="BD140" s="5">
        <v>132</v>
      </c>
      <c r="BE140" s="7" t="s">
        <v>165</v>
      </c>
      <c r="BF140" s="8">
        <v>16068000</v>
      </c>
      <c r="BG140" s="9">
        <v>7280</v>
      </c>
      <c r="BH140" s="10">
        <f t="shared" si="40"/>
        <v>8.310249307479145E-3</v>
      </c>
      <c r="BI140" s="10">
        <f t="shared" si="41"/>
        <v>8.2759093038596611E-3</v>
      </c>
    </row>
    <row r="141" spans="2:61" x14ac:dyDescent="0.4">
      <c r="B141" s="5">
        <v>133</v>
      </c>
      <c r="C141" s="7" t="s">
        <v>166</v>
      </c>
      <c r="D141" s="8">
        <v>24054799</v>
      </c>
      <c r="E141" s="9">
        <v>10930</v>
      </c>
      <c r="F141" s="10">
        <f t="shared" si="28"/>
        <v>1.0166358595194103E-2</v>
      </c>
      <c r="G141" s="10">
        <f t="shared" si="29"/>
        <v>1.0115028770111747E-2</v>
      </c>
      <c r="K141" s="5">
        <v>133</v>
      </c>
      <c r="L141" s="7" t="s">
        <v>166</v>
      </c>
      <c r="M141" s="8">
        <v>21929315</v>
      </c>
      <c r="N141" s="9">
        <v>13110</v>
      </c>
      <c r="O141" s="10">
        <f t="shared" si="30"/>
        <v>6.1396776669224717E-3</v>
      </c>
      <c r="P141" s="10">
        <f t="shared" si="31"/>
        <v>6.1209066388547093E-3</v>
      </c>
      <c r="T141" s="5">
        <v>133</v>
      </c>
      <c r="U141" s="7" t="s">
        <v>166</v>
      </c>
      <c r="V141" s="8">
        <v>26014161</v>
      </c>
      <c r="W141" s="9">
        <v>7380</v>
      </c>
      <c r="X141" s="10">
        <f t="shared" si="32"/>
        <v>1.2345679012345734E-2</v>
      </c>
      <c r="Y141" s="10">
        <f t="shared" si="33"/>
        <v>1.2270092591814401E-2</v>
      </c>
      <c r="AC141" s="5">
        <v>133</v>
      </c>
      <c r="AD141" s="7" t="s">
        <v>166</v>
      </c>
      <c r="AE141" s="8">
        <v>35798007</v>
      </c>
      <c r="AF141" s="9">
        <v>38850</v>
      </c>
      <c r="AG141" s="10">
        <f t="shared" si="34"/>
        <v>-2.3869346733668362E-2</v>
      </c>
      <c r="AH141" s="10">
        <f t="shared" si="35"/>
        <v>-2.4158835476735595E-2</v>
      </c>
      <c r="AL141" s="5">
        <v>133</v>
      </c>
      <c r="AM141" s="7" t="s">
        <v>166</v>
      </c>
      <c r="AN141" s="8">
        <v>58492759</v>
      </c>
      <c r="AO141" s="9">
        <v>131800</v>
      </c>
      <c r="AP141" s="10">
        <f t="shared" si="36"/>
        <v>-6.7822155237377002E-3</v>
      </c>
      <c r="AQ141" s="10">
        <f t="shared" si="37"/>
        <v>-6.8053192697549265E-3</v>
      </c>
      <c r="AU141" s="5">
        <v>133</v>
      </c>
      <c r="AV141" s="7" t="s">
        <v>166</v>
      </c>
      <c r="AW141" s="8">
        <v>40000000</v>
      </c>
      <c r="AX141" s="9">
        <v>2450</v>
      </c>
      <c r="AY141" s="10">
        <f t="shared" si="38"/>
        <v>1.2396694214876103E-2</v>
      </c>
      <c r="AZ141" s="10">
        <f t="shared" si="39"/>
        <v>1.2320484388040657E-2</v>
      </c>
      <c r="BD141" s="5">
        <v>133</v>
      </c>
      <c r="BE141" s="7" t="s">
        <v>166</v>
      </c>
      <c r="BF141" s="8">
        <v>16068000</v>
      </c>
      <c r="BG141" s="9">
        <v>7220</v>
      </c>
      <c r="BH141" s="10">
        <f t="shared" si="40"/>
        <v>4.1724617524339092E-3</v>
      </c>
      <c r="BI141" s="10">
        <f t="shared" si="41"/>
        <v>4.1637811717795143E-3</v>
      </c>
    </row>
    <row r="142" spans="2:61" x14ac:dyDescent="0.4">
      <c r="B142" s="5">
        <v>134</v>
      </c>
      <c r="C142" s="7" t="s">
        <v>167</v>
      </c>
      <c r="D142" s="8">
        <v>24054799</v>
      </c>
      <c r="E142" s="9">
        <v>10820</v>
      </c>
      <c r="F142" s="10">
        <f t="shared" si="28"/>
        <v>0.11546391752577323</v>
      </c>
      <c r="G142" s="10">
        <f t="shared" si="29"/>
        <v>0.10927038790899836</v>
      </c>
      <c r="K142" s="5">
        <v>134</v>
      </c>
      <c r="L142" s="7" t="s">
        <v>167</v>
      </c>
      <c r="M142" s="8">
        <v>21929315</v>
      </c>
      <c r="N142" s="9">
        <v>13030</v>
      </c>
      <c r="O142" s="10">
        <f t="shared" si="30"/>
        <v>-7.6687116564422286E-4</v>
      </c>
      <c r="P142" s="10">
        <f t="shared" si="31"/>
        <v>-7.6716536175319564E-4</v>
      </c>
      <c r="T142" s="5">
        <v>134</v>
      </c>
      <c r="U142" s="7" t="s">
        <v>167</v>
      </c>
      <c r="V142" s="8">
        <v>26014161</v>
      </c>
      <c r="W142" s="9">
        <v>7290</v>
      </c>
      <c r="X142" s="10">
        <f t="shared" si="32"/>
        <v>1.9580419580419672E-2</v>
      </c>
      <c r="Y142" s="10">
        <f t="shared" si="33"/>
        <v>1.9391189314650583E-2</v>
      </c>
      <c r="AC142" s="5">
        <v>134</v>
      </c>
      <c r="AD142" s="7" t="s">
        <v>167</v>
      </c>
      <c r="AE142" s="8">
        <v>35798007</v>
      </c>
      <c r="AF142" s="9">
        <v>39800</v>
      </c>
      <c r="AG142" s="10">
        <f t="shared" si="34"/>
        <v>-3.1630170316301665E-2</v>
      </c>
      <c r="AH142" s="10">
        <f t="shared" si="35"/>
        <v>-3.2141209211796862E-2</v>
      </c>
      <c r="AL142" s="5">
        <v>134</v>
      </c>
      <c r="AM142" s="7" t="s">
        <v>167</v>
      </c>
      <c r="AN142" s="8">
        <v>58492759</v>
      </c>
      <c r="AO142" s="9">
        <v>132700</v>
      </c>
      <c r="AP142" s="10">
        <f t="shared" si="36"/>
        <v>3.023431594860071E-3</v>
      </c>
      <c r="AQ142" s="10">
        <f t="shared" si="37"/>
        <v>3.0188702172517299E-3</v>
      </c>
      <c r="AU142" s="5">
        <v>134</v>
      </c>
      <c r="AV142" s="7" t="s">
        <v>167</v>
      </c>
      <c r="AW142" s="8">
        <v>40000000</v>
      </c>
      <c r="AX142" s="9">
        <v>2420</v>
      </c>
      <c r="AY142" s="10">
        <f t="shared" si="38"/>
        <v>-1.0224948875255602E-2</v>
      </c>
      <c r="AZ142" s="10">
        <f t="shared" si="39"/>
        <v>-1.0277582758240296E-2</v>
      </c>
      <c r="BD142" s="5">
        <v>134</v>
      </c>
      <c r="BE142" s="7" t="s">
        <v>167</v>
      </c>
      <c r="BF142" s="8">
        <v>16068000</v>
      </c>
      <c r="BG142" s="9">
        <v>7190</v>
      </c>
      <c r="BH142" s="10">
        <f t="shared" si="40"/>
        <v>5.5944055944054938E-3</v>
      </c>
      <c r="BI142" s="10">
        <f t="shared" si="41"/>
        <v>5.5788150270389336E-3</v>
      </c>
    </row>
    <row r="143" spans="2:61" x14ac:dyDescent="0.4">
      <c r="B143" s="5">
        <v>135</v>
      </c>
      <c r="C143" s="7" t="s">
        <v>168</v>
      </c>
      <c r="D143" s="8">
        <v>24054799</v>
      </c>
      <c r="E143" s="9">
        <v>9700</v>
      </c>
      <c r="F143" s="10">
        <f t="shared" si="28"/>
        <v>1.8907563025210017E-2</v>
      </c>
      <c r="G143" s="10">
        <f t="shared" si="29"/>
        <v>1.8731036706063128E-2</v>
      </c>
      <c r="K143" s="5">
        <v>135</v>
      </c>
      <c r="L143" s="7" t="s">
        <v>168</v>
      </c>
      <c r="M143" s="8">
        <v>21929315</v>
      </c>
      <c r="N143" s="9">
        <v>13040</v>
      </c>
      <c r="O143" s="10">
        <f t="shared" si="30"/>
        <v>3.0769230769229772E-3</v>
      </c>
      <c r="P143" s="10">
        <f t="shared" si="31"/>
        <v>3.0721990369700588E-3</v>
      </c>
      <c r="T143" s="5">
        <v>135</v>
      </c>
      <c r="U143" s="7" t="s">
        <v>168</v>
      </c>
      <c r="V143" s="8">
        <v>26014161</v>
      </c>
      <c r="W143" s="9">
        <v>7150</v>
      </c>
      <c r="X143" s="10">
        <f t="shared" si="32"/>
        <v>1.4005602240896309E-3</v>
      </c>
      <c r="Y143" s="10">
        <f t="shared" si="33"/>
        <v>1.3995803544232636E-3</v>
      </c>
      <c r="AC143" s="5">
        <v>135</v>
      </c>
      <c r="AD143" s="7" t="s">
        <v>168</v>
      </c>
      <c r="AE143" s="8">
        <v>35798007</v>
      </c>
      <c r="AF143" s="9">
        <v>41100</v>
      </c>
      <c r="AG143" s="10">
        <f t="shared" si="34"/>
        <v>-3.6363636363636598E-3</v>
      </c>
      <c r="AH143" s="10">
        <f t="shared" si="35"/>
        <v>-3.6429912785010919E-3</v>
      </c>
      <c r="AL143" s="5">
        <v>135</v>
      </c>
      <c r="AM143" s="7" t="s">
        <v>168</v>
      </c>
      <c r="AN143" s="8">
        <v>58492759</v>
      </c>
      <c r="AO143" s="9">
        <v>132300</v>
      </c>
      <c r="AP143" s="10">
        <f t="shared" si="36"/>
        <v>0</v>
      </c>
      <c r="AQ143" s="10">
        <f t="shared" si="37"/>
        <v>0</v>
      </c>
      <c r="AU143" s="5">
        <v>135</v>
      </c>
      <c r="AV143" s="7" t="s">
        <v>168</v>
      </c>
      <c r="AW143" s="8">
        <v>40000000</v>
      </c>
      <c r="AX143" s="9">
        <v>2445</v>
      </c>
      <c r="AY143" s="10">
        <f t="shared" si="38"/>
        <v>2.3012552301255207E-2</v>
      </c>
      <c r="AZ143" s="10">
        <f t="shared" si="39"/>
        <v>2.2751756983416027E-2</v>
      </c>
      <c r="BD143" s="5">
        <v>135</v>
      </c>
      <c r="BE143" s="7" t="s">
        <v>168</v>
      </c>
      <c r="BF143" s="8">
        <v>16068000</v>
      </c>
      <c r="BG143" s="9">
        <v>7150</v>
      </c>
      <c r="BH143" s="10">
        <f t="shared" si="40"/>
        <v>0</v>
      </c>
      <c r="BI143" s="10">
        <f t="shared" si="41"/>
        <v>0</v>
      </c>
    </row>
    <row r="144" spans="2:61" x14ac:dyDescent="0.4">
      <c r="B144" s="5">
        <v>136</v>
      </c>
      <c r="C144" s="7" t="s">
        <v>169</v>
      </c>
      <c r="D144" s="8">
        <v>24054799</v>
      </c>
      <c r="E144" s="9">
        <v>9520</v>
      </c>
      <c r="F144" s="10">
        <f t="shared" si="28"/>
        <v>-1.5511892450879028E-2</v>
      </c>
      <c r="G144" s="10">
        <f t="shared" si="29"/>
        <v>-1.5633460661929034E-2</v>
      </c>
      <c r="K144" s="5">
        <v>136</v>
      </c>
      <c r="L144" s="7" t="s">
        <v>169</v>
      </c>
      <c r="M144" s="8">
        <v>21929315</v>
      </c>
      <c r="N144" s="9">
        <v>13000</v>
      </c>
      <c r="O144" s="10">
        <f t="shared" si="30"/>
        <v>-2.6946107784431184E-2</v>
      </c>
      <c r="P144" s="10">
        <f t="shared" si="31"/>
        <v>-2.7315810646962979E-2</v>
      </c>
      <c r="T144" s="5">
        <v>136</v>
      </c>
      <c r="U144" s="7" t="s">
        <v>169</v>
      </c>
      <c r="V144" s="8">
        <v>26014161</v>
      </c>
      <c r="W144" s="9">
        <v>7140</v>
      </c>
      <c r="X144" s="10">
        <f t="shared" si="32"/>
        <v>-3.2520325203251987E-2</v>
      </c>
      <c r="Y144" s="10">
        <f t="shared" si="33"/>
        <v>-3.3060862260888065E-2</v>
      </c>
      <c r="AC144" s="5">
        <v>136</v>
      </c>
      <c r="AD144" s="7" t="s">
        <v>169</v>
      </c>
      <c r="AE144" s="8">
        <v>35798007</v>
      </c>
      <c r="AF144" s="9">
        <v>41250</v>
      </c>
      <c r="AG144" s="10">
        <f t="shared" si="34"/>
        <v>-3.169014084507038E-2</v>
      </c>
      <c r="AH144" s="10">
        <f t="shared" si="35"/>
        <v>-3.2203140494634706E-2</v>
      </c>
      <c r="AL144" s="5">
        <v>136</v>
      </c>
      <c r="AM144" s="7" t="s">
        <v>169</v>
      </c>
      <c r="AN144" s="8">
        <v>58492759</v>
      </c>
      <c r="AO144" s="9">
        <v>132300</v>
      </c>
      <c r="AP144" s="10">
        <f t="shared" si="36"/>
        <v>-2.433628318584069E-2</v>
      </c>
      <c r="AQ144" s="10">
        <f t="shared" si="37"/>
        <v>-2.4637304385385177E-2</v>
      </c>
      <c r="AU144" s="5">
        <v>136</v>
      </c>
      <c r="AV144" s="7" t="s">
        <v>169</v>
      </c>
      <c r="AW144" s="8">
        <v>40000000</v>
      </c>
      <c r="AX144" s="9">
        <v>2390</v>
      </c>
      <c r="AY144" s="10">
        <f t="shared" si="38"/>
        <v>-3.0425963488843855E-2</v>
      </c>
      <c r="AZ144" s="10">
        <f t="shared" si="39"/>
        <v>-3.0898441551234175E-2</v>
      </c>
      <c r="BD144" s="5">
        <v>136</v>
      </c>
      <c r="BE144" s="7" t="s">
        <v>169</v>
      </c>
      <c r="BF144" s="8">
        <v>16068000</v>
      </c>
      <c r="BG144" s="9">
        <v>7150</v>
      </c>
      <c r="BH144" s="10">
        <f t="shared" si="40"/>
        <v>-2.7210884353741527E-2</v>
      </c>
      <c r="BI144" s="10">
        <f t="shared" si="41"/>
        <v>-2.7587956518829053E-2</v>
      </c>
    </row>
    <row r="145" spans="2:61" x14ac:dyDescent="0.4">
      <c r="B145" s="5">
        <v>137</v>
      </c>
      <c r="C145" s="7" t="s">
        <v>170</v>
      </c>
      <c r="D145" s="8">
        <v>24054799</v>
      </c>
      <c r="E145" s="9">
        <v>9670</v>
      </c>
      <c r="F145" s="10">
        <f t="shared" si="28"/>
        <v>-1.4271151885830835E-2</v>
      </c>
      <c r="G145" s="10">
        <f t="shared" si="29"/>
        <v>-1.4373964112068809E-2</v>
      </c>
      <c r="K145" s="5">
        <v>137</v>
      </c>
      <c r="L145" s="7" t="s">
        <v>170</v>
      </c>
      <c r="M145" s="8">
        <v>21929315</v>
      </c>
      <c r="N145" s="9">
        <v>13360</v>
      </c>
      <c r="O145" s="10">
        <f t="shared" si="30"/>
        <v>6.7822155237378112E-3</v>
      </c>
      <c r="P145" s="10">
        <f t="shared" si="31"/>
        <v>6.7593197643835822E-3</v>
      </c>
      <c r="T145" s="5">
        <v>137</v>
      </c>
      <c r="U145" s="7" t="s">
        <v>170</v>
      </c>
      <c r="V145" s="8">
        <v>26014161</v>
      </c>
      <c r="W145" s="9">
        <v>7380</v>
      </c>
      <c r="X145" s="10">
        <f t="shared" si="32"/>
        <v>6.8212824010913664E-3</v>
      </c>
      <c r="Y145" s="10">
        <f t="shared" si="33"/>
        <v>6.7981227138209652E-3</v>
      </c>
      <c r="AC145" s="5">
        <v>137</v>
      </c>
      <c r="AD145" s="7" t="s">
        <v>170</v>
      </c>
      <c r="AE145" s="8">
        <v>35798007</v>
      </c>
      <c r="AF145" s="9">
        <v>42600</v>
      </c>
      <c r="AG145" s="10">
        <f t="shared" si="34"/>
        <v>-2.7397260273972601E-2</v>
      </c>
      <c r="AH145" s="10">
        <f t="shared" si="35"/>
        <v>-2.7779564107075706E-2</v>
      </c>
      <c r="AL145" s="5">
        <v>137</v>
      </c>
      <c r="AM145" s="7" t="s">
        <v>170</v>
      </c>
      <c r="AN145" s="8">
        <v>58492759</v>
      </c>
      <c r="AO145" s="9">
        <v>135600</v>
      </c>
      <c r="AP145" s="10">
        <f t="shared" si="36"/>
        <v>-2.9348604151753777E-2</v>
      </c>
      <c r="AQ145" s="10">
        <f t="shared" si="37"/>
        <v>-2.9787890756620958E-2</v>
      </c>
      <c r="AU145" s="5">
        <v>137</v>
      </c>
      <c r="AV145" s="7" t="s">
        <v>170</v>
      </c>
      <c r="AW145" s="8">
        <v>40000000</v>
      </c>
      <c r="AX145" s="9">
        <v>2465</v>
      </c>
      <c r="AY145" s="10">
        <f t="shared" si="38"/>
        <v>-1.0040160642570295E-2</v>
      </c>
      <c r="AZ145" s="10">
        <f t="shared" si="39"/>
        <v>-1.0090902981962831E-2</v>
      </c>
      <c r="BD145" s="5">
        <v>137</v>
      </c>
      <c r="BE145" s="7" t="s">
        <v>170</v>
      </c>
      <c r="BF145" s="8">
        <v>16068000</v>
      </c>
      <c r="BG145" s="9">
        <v>7350</v>
      </c>
      <c r="BH145" s="10">
        <f t="shared" si="40"/>
        <v>-8.0971659919027994E-3</v>
      </c>
      <c r="BI145" s="10">
        <f t="shared" si="41"/>
        <v>-8.1301260832501755E-3</v>
      </c>
    </row>
    <row r="146" spans="2:61" x14ac:dyDescent="0.4">
      <c r="B146" s="5">
        <v>138</v>
      </c>
      <c r="C146" s="7" t="s">
        <v>171</v>
      </c>
      <c r="D146" s="8">
        <v>24054799</v>
      </c>
      <c r="E146" s="9">
        <v>9810</v>
      </c>
      <c r="F146" s="10">
        <f t="shared" si="28"/>
        <v>5.1229508196721785E-3</v>
      </c>
      <c r="G146" s="10">
        <f t="shared" si="29"/>
        <v>5.109873152270644E-3</v>
      </c>
      <c r="K146" s="5">
        <v>138</v>
      </c>
      <c r="L146" s="7" t="s">
        <v>171</v>
      </c>
      <c r="M146" s="8">
        <v>21929315</v>
      </c>
      <c r="N146" s="9">
        <v>13270</v>
      </c>
      <c r="O146" s="10">
        <f t="shared" si="30"/>
        <v>-1.7037037037037073E-2</v>
      </c>
      <c r="P146" s="10">
        <f t="shared" si="31"/>
        <v>-1.7183837100267659E-2</v>
      </c>
      <c r="T146" s="5">
        <v>138</v>
      </c>
      <c r="U146" s="7" t="s">
        <v>171</v>
      </c>
      <c r="V146" s="8">
        <v>26014161</v>
      </c>
      <c r="W146" s="9">
        <v>7330</v>
      </c>
      <c r="X146" s="10">
        <f t="shared" si="32"/>
        <v>9.6418732782368455E-3</v>
      </c>
      <c r="Y146" s="10">
        <f t="shared" si="33"/>
        <v>9.5956870618553354E-3</v>
      </c>
      <c r="AC146" s="5">
        <v>138</v>
      </c>
      <c r="AD146" s="7" t="s">
        <v>171</v>
      </c>
      <c r="AE146" s="8">
        <v>35798007</v>
      </c>
      <c r="AF146" s="9">
        <v>43800</v>
      </c>
      <c r="AG146" s="10">
        <f t="shared" si="34"/>
        <v>1.8604651162790642E-2</v>
      </c>
      <c r="AH146" s="10">
        <f t="shared" si="35"/>
        <v>1.8433701688837966E-2</v>
      </c>
      <c r="AL146" s="5">
        <v>138</v>
      </c>
      <c r="AM146" s="7" t="s">
        <v>171</v>
      </c>
      <c r="AN146" s="8">
        <v>58492759</v>
      </c>
      <c r="AO146" s="9">
        <v>139700</v>
      </c>
      <c r="AP146" s="10">
        <f t="shared" si="36"/>
        <v>-6.4011379800853474E-3</v>
      </c>
      <c r="AQ146" s="10">
        <f t="shared" si="37"/>
        <v>-6.4217131136483953E-3</v>
      </c>
      <c r="AU146" s="5">
        <v>138</v>
      </c>
      <c r="AV146" s="7" t="s">
        <v>171</v>
      </c>
      <c r="AW146" s="8">
        <v>40000000</v>
      </c>
      <c r="AX146" s="9">
        <v>2490</v>
      </c>
      <c r="AY146" s="10">
        <f t="shared" si="38"/>
        <v>1.2195121951219523E-2</v>
      </c>
      <c r="AZ146" s="10">
        <f t="shared" si="39"/>
        <v>1.212136053234482E-2</v>
      </c>
      <c r="BD146" s="5">
        <v>138</v>
      </c>
      <c r="BE146" s="7" t="s">
        <v>171</v>
      </c>
      <c r="BF146" s="8">
        <v>16068000</v>
      </c>
      <c r="BG146" s="9">
        <v>7410</v>
      </c>
      <c r="BH146" s="10">
        <f t="shared" si="40"/>
        <v>5.4274084124830146E-3</v>
      </c>
      <c r="BI146" s="10">
        <f t="shared" si="41"/>
        <v>5.4127331067502591E-3</v>
      </c>
    </row>
    <row r="147" spans="2:61" x14ac:dyDescent="0.4">
      <c r="B147" s="5">
        <v>139</v>
      </c>
      <c r="C147" s="7" t="s">
        <v>172</v>
      </c>
      <c r="D147" s="8">
        <v>24054799</v>
      </c>
      <c r="E147" s="9">
        <v>9760</v>
      </c>
      <c r="F147" s="10">
        <f t="shared" si="28"/>
        <v>2.413431269674704E-2</v>
      </c>
      <c r="G147" s="10">
        <f t="shared" si="29"/>
        <v>2.3847682758890303E-2</v>
      </c>
      <c r="K147" s="5">
        <v>139</v>
      </c>
      <c r="L147" s="7" t="s">
        <v>172</v>
      </c>
      <c r="M147" s="8">
        <v>21929315</v>
      </c>
      <c r="N147" s="9">
        <v>13500</v>
      </c>
      <c r="O147" s="10">
        <f t="shared" si="30"/>
        <v>1.9637462235649439E-2</v>
      </c>
      <c r="P147" s="10">
        <f t="shared" si="31"/>
        <v>1.9447134935521509E-2</v>
      </c>
      <c r="T147" s="5">
        <v>139</v>
      </c>
      <c r="U147" s="7" t="s">
        <v>172</v>
      </c>
      <c r="V147" s="8">
        <v>26014161</v>
      </c>
      <c r="W147" s="9">
        <v>7260</v>
      </c>
      <c r="X147" s="10">
        <f t="shared" si="32"/>
        <v>5.5401662049860967E-3</v>
      </c>
      <c r="Y147" s="10">
        <f t="shared" si="33"/>
        <v>5.5248759319698072E-3</v>
      </c>
      <c r="AC147" s="5">
        <v>139</v>
      </c>
      <c r="AD147" s="7" t="s">
        <v>172</v>
      </c>
      <c r="AE147" s="8">
        <v>35798007</v>
      </c>
      <c r="AF147" s="9">
        <v>43000</v>
      </c>
      <c r="AG147" s="10">
        <f t="shared" si="34"/>
        <v>2.3310023310023631E-3</v>
      </c>
      <c r="AH147" s="10">
        <f t="shared" si="35"/>
        <v>2.3282897595911681E-3</v>
      </c>
      <c r="AL147" s="5">
        <v>139</v>
      </c>
      <c r="AM147" s="7" t="s">
        <v>172</v>
      </c>
      <c r="AN147" s="8">
        <v>58492759</v>
      </c>
      <c r="AO147" s="9">
        <v>140600</v>
      </c>
      <c r="AP147" s="10">
        <f t="shared" si="36"/>
        <v>5.0035739814153768E-3</v>
      </c>
      <c r="AQ147" s="10">
        <f t="shared" si="37"/>
        <v>4.9910977051291182E-3</v>
      </c>
      <c r="AU147" s="5">
        <v>139</v>
      </c>
      <c r="AV147" s="7" t="s">
        <v>172</v>
      </c>
      <c r="AW147" s="8">
        <v>40000000</v>
      </c>
      <c r="AX147" s="9">
        <v>2460</v>
      </c>
      <c r="AY147" s="10">
        <f t="shared" si="38"/>
        <v>-2.0283975659228792E-3</v>
      </c>
      <c r="AZ147" s="10">
        <f t="shared" si="39"/>
        <v>-2.0304575503819517E-3</v>
      </c>
      <c r="BD147" s="5">
        <v>139</v>
      </c>
      <c r="BE147" s="7" t="s">
        <v>172</v>
      </c>
      <c r="BF147" s="8">
        <v>16068000</v>
      </c>
      <c r="BG147" s="9">
        <v>7370</v>
      </c>
      <c r="BH147" s="10">
        <f t="shared" si="40"/>
        <v>1.2362637362637319E-2</v>
      </c>
      <c r="BI147" s="10">
        <f t="shared" si="41"/>
        <v>1.2286843992650591E-2</v>
      </c>
    </row>
    <row r="148" spans="2:61" x14ac:dyDescent="0.4">
      <c r="B148" s="5">
        <v>140</v>
      </c>
      <c r="C148" s="7" t="s">
        <v>173</v>
      </c>
      <c r="D148" s="8">
        <v>24054799</v>
      </c>
      <c r="E148" s="9">
        <v>9530</v>
      </c>
      <c r="F148" s="10">
        <f t="shared" si="28"/>
        <v>1.4909478168264156E-2</v>
      </c>
      <c r="G148" s="10">
        <f t="shared" si="29"/>
        <v>1.4799424445939249E-2</v>
      </c>
      <c r="K148" s="5">
        <v>140</v>
      </c>
      <c r="L148" s="7" t="s">
        <v>173</v>
      </c>
      <c r="M148" s="8">
        <v>21929315</v>
      </c>
      <c r="N148" s="9">
        <v>13240</v>
      </c>
      <c r="O148" s="10">
        <f t="shared" si="30"/>
        <v>2.635658914728678E-2</v>
      </c>
      <c r="P148" s="10">
        <f t="shared" si="31"/>
        <v>2.6015239141235678E-2</v>
      </c>
      <c r="T148" s="5">
        <v>140</v>
      </c>
      <c r="U148" s="7" t="s">
        <v>173</v>
      </c>
      <c r="V148" s="8">
        <v>26014161</v>
      </c>
      <c r="W148" s="9">
        <v>7220</v>
      </c>
      <c r="X148" s="10">
        <f t="shared" si="32"/>
        <v>1.5471167369901506E-2</v>
      </c>
      <c r="Y148" s="10">
        <f t="shared" si="33"/>
        <v>1.5352709089585312E-2</v>
      </c>
      <c r="AC148" s="5">
        <v>140</v>
      </c>
      <c r="AD148" s="7" t="s">
        <v>173</v>
      </c>
      <c r="AE148" s="8">
        <v>35798007</v>
      </c>
      <c r="AF148" s="9">
        <v>42900</v>
      </c>
      <c r="AG148" s="10">
        <f t="shared" si="34"/>
        <v>-8.0924855491329994E-3</v>
      </c>
      <c r="AH148" s="10">
        <f t="shared" si="35"/>
        <v>-8.1254074439170917E-3</v>
      </c>
      <c r="AL148" s="5">
        <v>140</v>
      </c>
      <c r="AM148" s="7" t="s">
        <v>173</v>
      </c>
      <c r="AN148" s="8">
        <v>58492759</v>
      </c>
      <c r="AO148" s="9">
        <v>139900</v>
      </c>
      <c r="AP148" s="10">
        <f t="shared" si="36"/>
        <v>1.8936635105608168E-2</v>
      </c>
      <c r="AQ148" s="10">
        <f t="shared" si="37"/>
        <v>1.8759568897510136E-2</v>
      </c>
      <c r="AU148" s="5">
        <v>140</v>
      </c>
      <c r="AV148" s="7" t="s">
        <v>173</v>
      </c>
      <c r="AW148" s="8">
        <v>40000000</v>
      </c>
      <c r="AX148" s="9">
        <v>2465</v>
      </c>
      <c r="AY148" s="10">
        <f t="shared" si="38"/>
        <v>0</v>
      </c>
      <c r="AZ148" s="10">
        <f t="shared" si="39"/>
        <v>0</v>
      </c>
      <c r="BD148" s="5">
        <v>140</v>
      </c>
      <c r="BE148" s="7" t="s">
        <v>173</v>
      </c>
      <c r="BF148" s="8">
        <v>16068000</v>
      </c>
      <c r="BG148" s="9">
        <v>7280</v>
      </c>
      <c r="BH148" s="10">
        <f t="shared" si="40"/>
        <v>1.9607843137254832E-2</v>
      </c>
      <c r="BI148" s="10">
        <f t="shared" si="41"/>
        <v>1.9418085857101516E-2</v>
      </c>
    </row>
    <row r="149" spans="2:61" x14ac:dyDescent="0.4">
      <c r="B149" s="5">
        <v>141</v>
      </c>
      <c r="C149" s="7" t="s">
        <v>174</v>
      </c>
      <c r="D149" s="8">
        <v>24054799</v>
      </c>
      <c r="E149" s="9">
        <v>9390</v>
      </c>
      <c r="F149" s="10">
        <f t="shared" si="28"/>
        <v>1.6233766233766156E-2</v>
      </c>
      <c r="G149" s="10">
        <f t="shared" si="29"/>
        <v>1.6103407566578673E-2</v>
      </c>
      <c r="K149" s="5">
        <v>141</v>
      </c>
      <c r="L149" s="7" t="s">
        <v>174</v>
      </c>
      <c r="M149" s="8">
        <v>21929315</v>
      </c>
      <c r="N149" s="9">
        <v>12900</v>
      </c>
      <c r="O149" s="10">
        <f t="shared" si="30"/>
        <v>1.5748031496062964E-2</v>
      </c>
      <c r="P149" s="10">
        <f t="shared" si="31"/>
        <v>1.5625317903080815E-2</v>
      </c>
      <c r="T149" s="5">
        <v>141</v>
      </c>
      <c r="U149" s="7" t="s">
        <v>174</v>
      </c>
      <c r="V149" s="8">
        <v>26014161</v>
      </c>
      <c r="W149" s="9">
        <v>7110</v>
      </c>
      <c r="X149" s="10">
        <f t="shared" si="32"/>
        <v>-1.1126564673157202E-2</v>
      </c>
      <c r="Y149" s="10">
        <f t="shared" si="33"/>
        <v>-1.1188927917805852E-2</v>
      </c>
      <c r="AC149" s="5">
        <v>141</v>
      </c>
      <c r="AD149" s="7" t="s">
        <v>174</v>
      </c>
      <c r="AE149" s="8">
        <v>35798007</v>
      </c>
      <c r="AF149" s="9">
        <v>43250</v>
      </c>
      <c r="AG149" s="10">
        <f t="shared" si="34"/>
        <v>-1.9274376417233507E-2</v>
      </c>
      <c r="AH149" s="10">
        <f t="shared" si="35"/>
        <v>-1.9462549074911926E-2</v>
      </c>
      <c r="AL149" s="5">
        <v>141</v>
      </c>
      <c r="AM149" s="7" t="s">
        <v>174</v>
      </c>
      <c r="AN149" s="8">
        <v>58492759</v>
      </c>
      <c r="AO149" s="9">
        <v>137300</v>
      </c>
      <c r="AP149" s="10">
        <f t="shared" si="36"/>
        <v>2.3862788963460169E-2</v>
      </c>
      <c r="AQ149" s="10">
        <f t="shared" si="37"/>
        <v>2.3582522486292588E-2</v>
      </c>
      <c r="AU149" s="5">
        <v>141</v>
      </c>
      <c r="AV149" s="7" t="s">
        <v>174</v>
      </c>
      <c r="AW149" s="8">
        <v>40000000</v>
      </c>
      <c r="AX149" s="9">
        <v>2465</v>
      </c>
      <c r="AY149" s="10">
        <f t="shared" si="38"/>
        <v>2.0325203252031798E-3</v>
      </c>
      <c r="AZ149" s="10">
        <f t="shared" si="39"/>
        <v>2.0304575503819213E-3</v>
      </c>
      <c r="BD149" s="5">
        <v>141</v>
      </c>
      <c r="BE149" s="7" t="s">
        <v>174</v>
      </c>
      <c r="BF149" s="8">
        <v>16068000</v>
      </c>
      <c r="BG149" s="9">
        <v>7140</v>
      </c>
      <c r="BH149" s="10">
        <f t="shared" si="40"/>
        <v>4.2194092827003704E-3</v>
      </c>
      <c r="BI149" s="10">
        <f t="shared" si="41"/>
        <v>4.2105325363434578E-3</v>
      </c>
    </row>
    <row r="150" spans="2:61" x14ac:dyDescent="0.4">
      <c r="B150" s="5">
        <v>142</v>
      </c>
      <c r="C150" s="7" t="s">
        <v>175</v>
      </c>
      <c r="D150" s="8">
        <v>24054799</v>
      </c>
      <c r="E150" s="9">
        <v>9240</v>
      </c>
      <c r="F150" s="10">
        <f t="shared" si="28"/>
        <v>3.4714445688689866E-2</v>
      </c>
      <c r="G150" s="10">
        <f t="shared" si="29"/>
        <v>3.4125490765185167E-2</v>
      </c>
      <c r="K150" s="5">
        <v>142</v>
      </c>
      <c r="L150" s="7" t="s">
        <v>175</v>
      </c>
      <c r="M150" s="8">
        <v>21929315</v>
      </c>
      <c r="N150" s="9">
        <v>12700</v>
      </c>
      <c r="O150" s="10">
        <f t="shared" si="30"/>
        <v>1.8444266238973439E-2</v>
      </c>
      <c r="P150" s="10">
        <f t="shared" si="31"/>
        <v>1.827623377260041E-2</v>
      </c>
      <c r="T150" s="5">
        <v>142</v>
      </c>
      <c r="U150" s="7" t="s">
        <v>175</v>
      </c>
      <c r="V150" s="8">
        <v>26014161</v>
      </c>
      <c r="W150" s="9">
        <v>7190</v>
      </c>
      <c r="X150" s="10">
        <f t="shared" si="32"/>
        <v>8.4151472650770831E-3</v>
      </c>
      <c r="Y150" s="10">
        <f t="shared" si="33"/>
        <v>8.3799373067506965E-3</v>
      </c>
      <c r="AC150" s="5">
        <v>142</v>
      </c>
      <c r="AD150" s="7" t="s">
        <v>175</v>
      </c>
      <c r="AE150" s="8">
        <v>35798007</v>
      </c>
      <c r="AF150" s="9">
        <v>44100</v>
      </c>
      <c r="AG150" s="10">
        <f t="shared" si="34"/>
        <v>-6.7567567567567988E-3</v>
      </c>
      <c r="AH150" s="10">
        <f t="shared" si="35"/>
        <v>-6.7796869853788038E-3</v>
      </c>
      <c r="AL150" s="5">
        <v>142</v>
      </c>
      <c r="AM150" s="7" t="s">
        <v>175</v>
      </c>
      <c r="AN150" s="8">
        <v>58492759</v>
      </c>
      <c r="AO150" s="9">
        <v>134100</v>
      </c>
      <c r="AP150" s="10">
        <f t="shared" si="36"/>
        <v>-1.4892032762472418E-3</v>
      </c>
      <c r="AQ150" s="10">
        <f t="shared" si="37"/>
        <v>-1.4903132415590849E-3</v>
      </c>
      <c r="AU150" s="5">
        <v>142</v>
      </c>
      <c r="AV150" s="7" t="s">
        <v>175</v>
      </c>
      <c r="AW150" s="8">
        <v>40000000</v>
      </c>
      <c r="AX150" s="9">
        <v>2460</v>
      </c>
      <c r="AY150" s="10">
        <f t="shared" si="38"/>
        <v>2.4999999999999911E-2</v>
      </c>
      <c r="AZ150" s="10">
        <f t="shared" si="39"/>
        <v>2.4692612590371414E-2</v>
      </c>
      <c r="BD150" s="5">
        <v>142</v>
      </c>
      <c r="BE150" s="7" t="s">
        <v>175</v>
      </c>
      <c r="BF150" s="8">
        <v>16068000</v>
      </c>
      <c r="BG150" s="9">
        <v>7110</v>
      </c>
      <c r="BH150" s="10">
        <f t="shared" si="40"/>
        <v>2.5974025974025983E-2</v>
      </c>
      <c r="BI150" s="10">
        <f t="shared" si="41"/>
        <v>2.5642430613337652E-2</v>
      </c>
    </row>
    <row r="151" spans="2:61" x14ac:dyDescent="0.4">
      <c r="B151" s="5">
        <v>143</v>
      </c>
      <c r="C151" s="7" t="s">
        <v>176</v>
      </c>
      <c r="D151" s="8">
        <v>24054799</v>
      </c>
      <c r="E151" s="9">
        <v>8930</v>
      </c>
      <c r="F151" s="10">
        <f t="shared" si="28"/>
        <v>2.0571428571428463E-2</v>
      </c>
      <c r="G151" s="10">
        <f t="shared" si="29"/>
        <v>2.0362694518884512E-2</v>
      </c>
      <c r="K151" s="5">
        <v>143</v>
      </c>
      <c r="L151" s="7" t="s">
        <v>176</v>
      </c>
      <c r="M151" s="8">
        <v>21929315</v>
      </c>
      <c r="N151" s="9">
        <v>12470</v>
      </c>
      <c r="O151" s="10">
        <f t="shared" si="30"/>
        <v>2.5493421052631637E-2</v>
      </c>
      <c r="P151" s="10">
        <f t="shared" si="31"/>
        <v>2.517388315392419E-2</v>
      </c>
      <c r="T151" s="5">
        <v>143</v>
      </c>
      <c r="U151" s="7" t="s">
        <v>176</v>
      </c>
      <c r="V151" s="8">
        <v>26014161</v>
      </c>
      <c r="W151" s="9">
        <v>7130</v>
      </c>
      <c r="X151" s="10">
        <f t="shared" si="32"/>
        <v>5.6417489421720646E-3</v>
      </c>
      <c r="Y151" s="10">
        <f t="shared" si="33"/>
        <v>5.6258938821684285E-3</v>
      </c>
      <c r="AC151" s="5">
        <v>143</v>
      </c>
      <c r="AD151" s="7" t="s">
        <v>176</v>
      </c>
      <c r="AE151" s="8">
        <v>35798007</v>
      </c>
      <c r="AF151" s="9">
        <v>44400</v>
      </c>
      <c r="AG151" s="10">
        <f t="shared" si="34"/>
        <v>8.8235294117646967E-2</v>
      </c>
      <c r="AH151" s="10">
        <f t="shared" si="35"/>
        <v>8.4557388028062966E-2</v>
      </c>
      <c r="AL151" s="5">
        <v>143</v>
      </c>
      <c r="AM151" s="7" t="s">
        <v>176</v>
      </c>
      <c r="AN151" s="8">
        <v>58492759</v>
      </c>
      <c r="AO151" s="9">
        <v>134300</v>
      </c>
      <c r="AP151" s="10">
        <f t="shared" si="36"/>
        <v>4.4876589379208021E-3</v>
      </c>
      <c r="AQ151" s="10">
        <f t="shared" si="37"/>
        <v>4.4776194212944797E-3</v>
      </c>
      <c r="AU151" s="5">
        <v>143</v>
      </c>
      <c r="AV151" s="7" t="s">
        <v>176</v>
      </c>
      <c r="AW151" s="8">
        <v>40000000</v>
      </c>
      <c r="AX151" s="9">
        <v>2400</v>
      </c>
      <c r="AY151" s="10">
        <f t="shared" si="38"/>
        <v>1.0526315789473717E-2</v>
      </c>
      <c r="AZ151" s="10">
        <f t="shared" si="39"/>
        <v>1.0471299867295437E-2</v>
      </c>
      <c r="BD151" s="5">
        <v>143</v>
      </c>
      <c r="BE151" s="7" t="s">
        <v>176</v>
      </c>
      <c r="BF151" s="8">
        <v>16068000</v>
      </c>
      <c r="BG151" s="9">
        <v>6930</v>
      </c>
      <c r="BH151" s="10">
        <f t="shared" si="40"/>
        <v>1.4450867052022698E-3</v>
      </c>
      <c r="BI151" s="10">
        <f t="shared" si="41"/>
        <v>1.4440435722336239E-3</v>
      </c>
    </row>
    <row r="152" spans="2:61" x14ac:dyDescent="0.4">
      <c r="B152" s="5">
        <v>144</v>
      </c>
      <c r="C152" s="7" t="s">
        <v>177</v>
      </c>
      <c r="D152" s="8">
        <v>24054799</v>
      </c>
      <c r="E152" s="9">
        <v>8750</v>
      </c>
      <c r="F152" s="10">
        <f t="shared" si="28"/>
        <v>0</v>
      </c>
      <c r="G152" s="10">
        <f t="shared" si="29"/>
        <v>0</v>
      </c>
      <c r="K152" s="5">
        <v>144</v>
      </c>
      <c r="L152" s="7" t="s">
        <v>177</v>
      </c>
      <c r="M152" s="8">
        <v>21929315</v>
      </c>
      <c r="N152" s="9">
        <v>12160</v>
      </c>
      <c r="O152" s="10">
        <f t="shared" si="30"/>
        <v>-4.0950040950040734E-3</v>
      </c>
      <c r="P152" s="10">
        <f t="shared" si="31"/>
        <v>-4.1034115845923419E-3</v>
      </c>
      <c r="T152" s="5">
        <v>144</v>
      </c>
      <c r="U152" s="7" t="s">
        <v>177</v>
      </c>
      <c r="V152" s="8">
        <v>26014161</v>
      </c>
      <c r="W152" s="9">
        <v>7090</v>
      </c>
      <c r="X152" s="10">
        <f t="shared" si="32"/>
        <v>-1.4084507042253502E-3</v>
      </c>
      <c r="Y152" s="10">
        <f t="shared" si="33"/>
        <v>-1.4094435032336043E-3</v>
      </c>
      <c r="AC152" s="5">
        <v>144</v>
      </c>
      <c r="AD152" s="7" t="s">
        <v>177</v>
      </c>
      <c r="AE152" s="8">
        <v>35798007</v>
      </c>
      <c r="AF152" s="9">
        <v>40800</v>
      </c>
      <c r="AG152" s="10">
        <f t="shared" si="34"/>
        <v>1.1152416356877248E-2</v>
      </c>
      <c r="AH152" s="10">
        <f t="shared" si="35"/>
        <v>1.1090686694158138E-2</v>
      </c>
      <c r="AL152" s="5">
        <v>144</v>
      </c>
      <c r="AM152" s="7" t="s">
        <v>177</v>
      </c>
      <c r="AN152" s="8">
        <v>58492759</v>
      </c>
      <c r="AO152" s="9">
        <v>133700</v>
      </c>
      <c r="AP152" s="10">
        <f t="shared" si="36"/>
        <v>-4.4676098287416144E-3</v>
      </c>
      <c r="AQ152" s="10">
        <f t="shared" si="37"/>
        <v>-4.4776194212943878E-3</v>
      </c>
      <c r="AU152" s="5">
        <v>144</v>
      </c>
      <c r="AV152" s="7" t="s">
        <v>177</v>
      </c>
      <c r="AW152" s="8">
        <v>40000000</v>
      </c>
      <c r="AX152" s="9">
        <v>2375</v>
      </c>
      <c r="AY152" s="10">
        <f t="shared" si="38"/>
        <v>4.2283298097252064E-3</v>
      </c>
      <c r="AZ152" s="10">
        <f t="shared" si="39"/>
        <v>4.2194155427082896E-3</v>
      </c>
      <c r="BD152" s="5">
        <v>144</v>
      </c>
      <c r="BE152" s="7" t="s">
        <v>177</v>
      </c>
      <c r="BF152" s="8">
        <v>16068000</v>
      </c>
      <c r="BG152" s="9">
        <v>6920</v>
      </c>
      <c r="BH152" s="10">
        <f t="shared" si="40"/>
        <v>7.2780203784570396E-3</v>
      </c>
      <c r="BI152" s="10">
        <f t="shared" si="41"/>
        <v>7.2516633953202065E-3</v>
      </c>
    </row>
    <row r="153" spans="2:61" x14ac:dyDescent="0.4">
      <c r="B153" s="5">
        <v>145</v>
      </c>
      <c r="C153" s="7" t="s">
        <v>178</v>
      </c>
      <c r="D153" s="8">
        <v>24054799</v>
      </c>
      <c r="E153" s="9">
        <v>8750</v>
      </c>
      <c r="F153" s="10">
        <f t="shared" si="28"/>
        <v>0</v>
      </c>
      <c r="G153" s="10">
        <f t="shared" si="29"/>
        <v>0</v>
      </c>
      <c r="K153" s="5">
        <v>145</v>
      </c>
      <c r="L153" s="7" t="s">
        <v>178</v>
      </c>
      <c r="M153" s="8">
        <v>21929315</v>
      </c>
      <c r="N153" s="9">
        <v>12210</v>
      </c>
      <c r="O153" s="10">
        <f t="shared" si="30"/>
        <v>0</v>
      </c>
      <c r="P153" s="10">
        <f t="shared" si="31"/>
        <v>0</v>
      </c>
      <c r="T153" s="5">
        <v>145</v>
      </c>
      <c r="U153" s="7" t="s">
        <v>178</v>
      </c>
      <c r="V153" s="8">
        <v>26014161</v>
      </c>
      <c r="W153" s="9">
        <v>7100</v>
      </c>
      <c r="X153" s="10">
        <f t="shared" si="32"/>
        <v>0</v>
      </c>
      <c r="Y153" s="10">
        <f t="shared" si="33"/>
        <v>0</v>
      </c>
      <c r="AC153" s="5">
        <v>145</v>
      </c>
      <c r="AD153" s="7" t="s">
        <v>178</v>
      </c>
      <c r="AE153" s="8">
        <v>35798007</v>
      </c>
      <c r="AF153" s="9">
        <v>40350</v>
      </c>
      <c r="AG153" s="10">
        <f t="shared" si="34"/>
        <v>-2.4721878862793423E-3</v>
      </c>
      <c r="AH153" s="10">
        <f t="shared" si="35"/>
        <v>-2.475248788542877E-3</v>
      </c>
      <c r="AL153" s="5">
        <v>145</v>
      </c>
      <c r="AM153" s="7" t="s">
        <v>178</v>
      </c>
      <c r="AN153" s="8">
        <v>58492759</v>
      </c>
      <c r="AO153" s="9">
        <v>134300</v>
      </c>
      <c r="AP153" s="10">
        <f t="shared" si="36"/>
        <v>-1.1045655375552244E-2</v>
      </c>
      <c r="AQ153" s="10">
        <f t="shared" si="37"/>
        <v>-1.1107111595403823E-2</v>
      </c>
      <c r="AU153" s="5">
        <v>145</v>
      </c>
      <c r="AV153" s="7" t="s">
        <v>178</v>
      </c>
      <c r="AW153" s="8">
        <v>40000000</v>
      </c>
      <c r="AX153" s="9">
        <v>2365</v>
      </c>
      <c r="AY153" s="10">
        <f t="shared" si="38"/>
        <v>-2.1097046413501852E-3</v>
      </c>
      <c r="AZ153" s="10">
        <f t="shared" si="39"/>
        <v>-2.1119332031435015E-3</v>
      </c>
      <c r="BD153" s="5">
        <v>145</v>
      </c>
      <c r="BE153" s="7" t="s">
        <v>178</v>
      </c>
      <c r="BF153" s="8">
        <v>16068000</v>
      </c>
      <c r="BG153" s="9">
        <v>6870</v>
      </c>
      <c r="BH153" s="10">
        <f t="shared" si="40"/>
        <v>2.9197080291971655E-3</v>
      </c>
      <c r="BI153" s="10">
        <f t="shared" si="41"/>
        <v>2.9154539601241349E-3</v>
      </c>
    </row>
    <row r="154" spans="2:61" x14ac:dyDescent="0.4">
      <c r="B154" s="5">
        <v>146</v>
      </c>
      <c r="C154" s="7" t="s">
        <v>179</v>
      </c>
      <c r="D154" s="8">
        <v>24054799</v>
      </c>
      <c r="E154" s="9">
        <v>8750</v>
      </c>
      <c r="F154" s="10">
        <f t="shared" si="28"/>
        <v>-1.1415525114155667E-3</v>
      </c>
      <c r="G154" s="10">
        <f t="shared" si="29"/>
        <v>-1.1422045787770521E-3</v>
      </c>
      <c r="K154" s="5">
        <v>146</v>
      </c>
      <c r="L154" s="7" t="s">
        <v>179</v>
      </c>
      <c r="M154" s="8">
        <v>21929315</v>
      </c>
      <c r="N154" s="9">
        <v>12210</v>
      </c>
      <c r="O154" s="10">
        <f t="shared" si="30"/>
        <v>-7.3170731707317138E-3</v>
      </c>
      <c r="P154" s="10">
        <f t="shared" si="31"/>
        <v>-7.343974255758506E-3</v>
      </c>
      <c r="T154" s="5">
        <v>146</v>
      </c>
      <c r="U154" s="7" t="s">
        <v>179</v>
      </c>
      <c r="V154" s="8">
        <v>26014161</v>
      </c>
      <c r="W154" s="9">
        <v>7100</v>
      </c>
      <c r="X154" s="10">
        <f t="shared" si="32"/>
        <v>-2.8089887640448952E-3</v>
      </c>
      <c r="Y154" s="10">
        <f t="shared" si="33"/>
        <v>-2.8129413766146126E-3</v>
      </c>
      <c r="AC154" s="5">
        <v>146</v>
      </c>
      <c r="AD154" s="7" t="s">
        <v>179</v>
      </c>
      <c r="AE154" s="8">
        <v>35798007</v>
      </c>
      <c r="AF154" s="9">
        <v>40450</v>
      </c>
      <c r="AG154" s="10">
        <f t="shared" si="34"/>
        <v>-1.5815085158150888E-2</v>
      </c>
      <c r="AH154" s="10">
        <f t="shared" si="35"/>
        <v>-1.5941477997688264E-2</v>
      </c>
      <c r="AL154" s="5">
        <v>146</v>
      </c>
      <c r="AM154" s="7" t="s">
        <v>179</v>
      </c>
      <c r="AN154" s="8">
        <v>58492759</v>
      </c>
      <c r="AO154" s="9">
        <v>135800</v>
      </c>
      <c r="AP154" s="10">
        <f t="shared" si="36"/>
        <v>-3.668378576669129E-3</v>
      </c>
      <c r="AQ154" s="10">
        <f t="shared" si="37"/>
        <v>-3.6751235778911943E-3</v>
      </c>
      <c r="AU154" s="5">
        <v>146</v>
      </c>
      <c r="AV154" s="7" t="s">
        <v>179</v>
      </c>
      <c r="AW154" s="8">
        <v>40000000</v>
      </c>
      <c r="AX154" s="9">
        <v>2370</v>
      </c>
      <c r="AY154" s="10">
        <f t="shared" si="38"/>
        <v>4.237288135593209E-3</v>
      </c>
      <c r="AZ154" s="10">
        <f t="shared" si="39"/>
        <v>4.2283361095211049E-3</v>
      </c>
      <c r="BD154" s="5">
        <v>146</v>
      </c>
      <c r="BE154" s="7" t="s">
        <v>179</v>
      </c>
      <c r="BF154" s="8">
        <v>16068000</v>
      </c>
      <c r="BG154" s="9">
        <v>6850</v>
      </c>
      <c r="BH154" s="10">
        <f t="shared" si="40"/>
        <v>5.8737151248164921E-3</v>
      </c>
      <c r="BI154" s="10">
        <f t="shared" si="41"/>
        <v>5.8565321127129685E-3</v>
      </c>
    </row>
    <row r="155" spans="2:61" x14ac:dyDescent="0.4">
      <c r="B155" s="5">
        <v>147</v>
      </c>
      <c r="C155" s="7" t="s">
        <v>180</v>
      </c>
      <c r="D155" s="8">
        <v>24054799</v>
      </c>
      <c r="E155" s="9">
        <v>8760</v>
      </c>
      <c r="F155" s="10">
        <f t="shared" si="28"/>
        <v>-4.5454545454545192E-3</v>
      </c>
      <c r="G155" s="10">
        <f t="shared" si="29"/>
        <v>-4.5558165358606907E-3</v>
      </c>
      <c r="K155" s="5">
        <v>147</v>
      </c>
      <c r="L155" s="7" t="s">
        <v>180</v>
      </c>
      <c r="M155" s="8">
        <v>21929315</v>
      </c>
      <c r="N155" s="9">
        <v>12300</v>
      </c>
      <c r="O155" s="10">
        <f t="shared" si="30"/>
        <v>6.5466448445172798E-3</v>
      </c>
      <c r="P155" s="10">
        <f t="shared" si="31"/>
        <v>6.525308634922641E-3</v>
      </c>
      <c r="T155" s="5">
        <v>147</v>
      </c>
      <c r="U155" s="7" t="s">
        <v>180</v>
      </c>
      <c r="V155" s="8">
        <v>26014161</v>
      </c>
      <c r="W155" s="9">
        <v>7120</v>
      </c>
      <c r="X155" s="10">
        <f t="shared" si="32"/>
        <v>7.0721357850069833E-3</v>
      </c>
      <c r="Y155" s="10">
        <f t="shared" si="33"/>
        <v>7.0472455154029223E-3</v>
      </c>
      <c r="AC155" s="5">
        <v>147</v>
      </c>
      <c r="AD155" s="7" t="s">
        <v>180</v>
      </c>
      <c r="AE155" s="8">
        <v>35798007</v>
      </c>
      <c r="AF155" s="9">
        <v>41100</v>
      </c>
      <c r="AG155" s="10">
        <f t="shared" si="34"/>
        <v>0</v>
      </c>
      <c r="AH155" s="10">
        <f t="shared" si="35"/>
        <v>0</v>
      </c>
      <c r="AL155" s="5">
        <v>147</v>
      </c>
      <c r="AM155" s="7" t="s">
        <v>180</v>
      </c>
      <c r="AN155" s="8">
        <v>58492759</v>
      </c>
      <c r="AO155" s="9">
        <v>136300</v>
      </c>
      <c r="AP155" s="10">
        <f t="shared" si="36"/>
        <v>6.6469719350072953E-3</v>
      </c>
      <c r="AQ155" s="10">
        <f t="shared" si="37"/>
        <v>6.6249782243122217E-3</v>
      </c>
      <c r="AU155" s="5">
        <v>147</v>
      </c>
      <c r="AV155" s="7" t="s">
        <v>180</v>
      </c>
      <c r="AW155" s="8">
        <v>40000000</v>
      </c>
      <c r="AX155" s="9">
        <v>2360</v>
      </c>
      <c r="AY155" s="10">
        <f t="shared" si="38"/>
        <v>-8.4033613445377853E-3</v>
      </c>
      <c r="AZ155" s="10">
        <f t="shared" si="39"/>
        <v>-8.4388686458645949E-3</v>
      </c>
      <c r="BD155" s="5">
        <v>147</v>
      </c>
      <c r="BE155" s="7" t="s">
        <v>180</v>
      </c>
      <c r="BF155" s="8">
        <v>16068000</v>
      </c>
      <c r="BG155" s="9">
        <v>6810</v>
      </c>
      <c r="BH155" s="10">
        <f t="shared" si="40"/>
        <v>0</v>
      </c>
      <c r="BI155" s="10">
        <f t="shared" si="41"/>
        <v>0</v>
      </c>
    </row>
    <row r="156" spans="2:61" x14ac:dyDescent="0.4">
      <c r="B156" s="5">
        <v>148</v>
      </c>
      <c r="C156" s="7" t="s">
        <v>181</v>
      </c>
      <c r="D156" s="8">
        <v>24054799</v>
      </c>
      <c r="E156" s="9">
        <v>8800</v>
      </c>
      <c r="F156" s="10">
        <f t="shared" si="28"/>
        <v>-7.8917700112739464E-3</v>
      </c>
      <c r="G156" s="10">
        <f t="shared" si="29"/>
        <v>-7.9230748373273225E-3</v>
      </c>
      <c r="K156" s="5">
        <v>148</v>
      </c>
      <c r="L156" s="7" t="s">
        <v>181</v>
      </c>
      <c r="M156" s="8">
        <v>21929315</v>
      </c>
      <c r="N156" s="9">
        <v>12220</v>
      </c>
      <c r="O156" s="10">
        <f t="shared" si="30"/>
        <v>-1.4516129032258074E-2</v>
      </c>
      <c r="P156" s="10">
        <f t="shared" si="31"/>
        <v>-1.4622518867541926E-2</v>
      </c>
      <c r="T156" s="5">
        <v>148</v>
      </c>
      <c r="U156" s="7" t="s">
        <v>181</v>
      </c>
      <c r="V156" s="8">
        <v>26014161</v>
      </c>
      <c r="W156" s="9">
        <v>7070</v>
      </c>
      <c r="X156" s="10">
        <f t="shared" si="32"/>
        <v>-8.4151472650771941E-3</v>
      </c>
      <c r="Y156" s="10">
        <f t="shared" si="33"/>
        <v>-8.4507545177232371E-3</v>
      </c>
      <c r="AC156" s="5">
        <v>148</v>
      </c>
      <c r="AD156" s="7" t="s">
        <v>181</v>
      </c>
      <c r="AE156" s="8">
        <v>35798007</v>
      </c>
      <c r="AF156" s="9">
        <v>41100</v>
      </c>
      <c r="AG156" s="10">
        <f t="shared" si="34"/>
        <v>-2.0262216924910592E-2</v>
      </c>
      <c r="AH156" s="10">
        <f t="shared" si="35"/>
        <v>-2.0470311411026246E-2</v>
      </c>
      <c r="AL156" s="5">
        <v>148</v>
      </c>
      <c r="AM156" s="7" t="s">
        <v>181</v>
      </c>
      <c r="AN156" s="8">
        <v>58492759</v>
      </c>
      <c r="AO156" s="9">
        <v>135400</v>
      </c>
      <c r="AP156" s="10">
        <f t="shared" si="36"/>
        <v>7.3909830007390376E-4</v>
      </c>
      <c r="AQ156" s="10">
        <f t="shared" si="37"/>
        <v>7.3882530143225722E-4</v>
      </c>
      <c r="AU156" s="5">
        <v>148</v>
      </c>
      <c r="AV156" s="7" t="s">
        <v>181</v>
      </c>
      <c r="AW156" s="8">
        <v>40000000</v>
      </c>
      <c r="AX156" s="9">
        <v>2380</v>
      </c>
      <c r="AY156" s="10">
        <f t="shared" si="38"/>
        <v>4.2194092827003704E-3</v>
      </c>
      <c r="AZ156" s="10">
        <f t="shared" si="39"/>
        <v>4.2105325363434578E-3</v>
      </c>
      <c r="BD156" s="5">
        <v>148</v>
      </c>
      <c r="BE156" s="7" t="s">
        <v>181</v>
      </c>
      <c r="BF156" s="8">
        <v>16068000</v>
      </c>
      <c r="BG156" s="9">
        <v>6810</v>
      </c>
      <c r="BH156" s="10">
        <f t="shared" si="40"/>
        <v>0</v>
      </c>
      <c r="BI156" s="10">
        <f t="shared" si="41"/>
        <v>0</v>
      </c>
    </row>
    <row r="157" spans="2:61" x14ac:dyDescent="0.4">
      <c r="B157" s="5">
        <v>149</v>
      </c>
      <c r="C157" s="7" t="s">
        <v>182</v>
      </c>
      <c r="D157" s="8">
        <v>24054799</v>
      </c>
      <c r="E157" s="9">
        <v>8870</v>
      </c>
      <c r="F157" s="10">
        <f t="shared" si="28"/>
        <v>2.6620370370370461E-2</v>
      </c>
      <c r="G157" s="10">
        <f t="shared" si="29"/>
        <v>2.6272213505523959E-2</v>
      </c>
      <c r="K157" s="5">
        <v>149</v>
      </c>
      <c r="L157" s="7" t="s">
        <v>182</v>
      </c>
      <c r="M157" s="8">
        <v>21929315</v>
      </c>
      <c r="N157" s="9">
        <v>12400</v>
      </c>
      <c r="O157" s="10">
        <f t="shared" si="30"/>
        <v>4.6413502109704741E-2</v>
      </c>
      <c r="P157" s="10">
        <f t="shared" si="31"/>
        <v>4.5368605029851086E-2</v>
      </c>
      <c r="T157" s="5">
        <v>149</v>
      </c>
      <c r="U157" s="7" t="s">
        <v>182</v>
      </c>
      <c r="V157" s="8">
        <v>26014161</v>
      </c>
      <c r="W157" s="9">
        <v>7130</v>
      </c>
      <c r="X157" s="10">
        <f t="shared" si="32"/>
        <v>2.5899280575539585E-2</v>
      </c>
      <c r="Y157" s="10">
        <f t="shared" si="33"/>
        <v>2.5569574849503823E-2</v>
      </c>
      <c r="AC157" s="5">
        <v>149</v>
      </c>
      <c r="AD157" s="7" t="s">
        <v>182</v>
      </c>
      <c r="AE157" s="8">
        <v>35798007</v>
      </c>
      <c r="AF157" s="9">
        <v>41950</v>
      </c>
      <c r="AG157" s="10">
        <f t="shared" si="34"/>
        <v>2.9447852760736248E-2</v>
      </c>
      <c r="AH157" s="10">
        <f t="shared" si="35"/>
        <v>2.902259322634352E-2</v>
      </c>
      <c r="AL157" s="5">
        <v>149</v>
      </c>
      <c r="AM157" s="7" t="s">
        <v>182</v>
      </c>
      <c r="AN157" s="8">
        <v>58492759</v>
      </c>
      <c r="AO157" s="9">
        <v>135300</v>
      </c>
      <c r="AP157" s="10">
        <f t="shared" si="36"/>
        <v>8.2400000000000029E-2</v>
      </c>
      <c r="AQ157" s="10">
        <f t="shared" si="37"/>
        <v>7.9180797874441253E-2</v>
      </c>
      <c r="AU157" s="5">
        <v>149</v>
      </c>
      <c r="AV157" s="7" t="s">
        <v>182</v>
      </c>
      <c r="AW157" s="8">
        <v>40000000</v>
      </c>
      <c r="AX157" s="9">
        <v>2370</v>
      </c>
      <c r="AY157" s="10">
        <f t="shared" si="38"/>
        <v>1.4989293361884259E-2</v>
      </c>
      <c r="AZ157" s="10">
        <f t="shared" si="39"/>
        <v>1.4878064026179076E-2</v>
      </c>
      <c r="BD157" s="5">
        <v>149</v>
      </c>
      <c r="BE157" s="7" t="s">
        <v>182</v>
      </c>
      <c r="BF157" s="8">
        <v>16068000</v>
      </c>
      <c r="BG157" s="9">
        <v>6810</v>
      </c>
      <c r="BH157" s="10">
        <f t="shared" si="40"/>
        <v>1.9461077844311392E-2</v>
      </c>
      <c r="BI157" s="10">
        <f t="shared" si="41"/>
        <v>1.9274132612866656E-2</v>
      </c>
    </row>
    <row r="158" spans="2:61" x14ac:dyDescent="0.4">
      <c r="B158" s="5">
        <v>150</v>
      </c>
      <c r="C158" s="7" t="s">
        <v>183</v>
      </c>
      <c r="D158" s="8">
        <v>24054799</v>
      </c>
      <c r="E158" s="9">
        <v>8640</v>
      </c>
      <c r="F158" s="10">
        <f t="shared" si="28"/>
        <v>-1.2571428571428567E-2</v>
      </c>
      <c r="G158" s="10">
        <f t="shared" si="29"/>
        <v>-1.2651117553558803E-2</v>
      </c>
      <c r="K158" s="5">
        <v>150</v>
      </c>
      <c r="L158" s="7" t="s">
        <v>183</v>
      </c>
      <c r="M158" s="8">
        <v>21929315</v>
      </c>
      <c r="N158" s="9">
        <v>11850</v>
      </c>
      <c r="O158" s="10">
        <f t="shared" si="30"/>
        <v>-1.4962593516209433E-2</v>
      </c>
      <c r="P158" s="10">
        <f t="shared" si="31"/>
        <v>-1.5075662405447273E-2</v>
      </c>
      <c r="T158" s="5">
        <v>150</v>
      </c>
      <c r="U158" s="7" t="s">
        <v>183</v>
      </c>
      <c r="V158" s="8">
        <v>26014161</v>
      </c>
      <c r="W158" s="9">
        <v>6950</v>
      </c>
      <c r="X158" s="10">
        <f t="shared" si="32"/>
        <v>1.4409221902016434E-3</v>
      </c>
      <c r="Y158" s="10">
        <f t="shared" si="33"/>
        <v>1.4398850579875444E-3</v>
      </c>
      <c r="AC158" s="5">
        <v>150</v>
      </c>
      <c r="AD158" s="7" t="s">
        <v>183</v>
      </c>
      <c r="AE158" s="8">
        <v>35798007</v>
      </c>
      <c r="AF158" s="9">
        <v>40750</v>
      </c>
      <c r="AG158" s="10">
        <f t="shared" si="34"/>
        <v>-2.9761904761904767E-2</v>
      </c>
      <c r="AH158" s="10">
        <f t="shared" si="35"/>
        <v>-3.0213778596496595E-2</v>
      </c>
      <c r="AL158" s="5">
        <v>150</v>
      </c>
      <c r="AM158" s="7" t="s">
        <v>183</v>
      </c>
      <c r="AN158" s="8">
        <v>58492759</v>
      </c>
      <c r="AO158" s="9">
        <v>125000</v>
      </c>
      <c r="AP158" s="10">
        <f t="shared" si="36"/>
        <v>-9.5087163232963068E-3</v>
      </c>
      <c r="AQ158" s="10">
        <f t="shared" si="37"/>
        <v>-9.5542128048116109E-3</v>
      </c>
      <c r="AU158" s="5">
        <v>150</v>
      </c>
      <c r="AV158" s="7" t="s">
        <v>183</v>
      </c>
      <c r="AW158" s="8">
        <v>40000000</v>
      </c>
      <c r="AX158" s="9">
        <v>2335</v>
      </c>
      <c r="AY158" s="10">
        <f t="shared" si="38"/>
        <v>-6.382978723404209E-3</v>
      </c>
      <c r="AZ158" s="10">
        <f t="shared" si="39"/>
        <v>-6.4034370352069126E-3</v>
      </c>
      <c r="BD158" s="5">
        <v>150</v>
      </c>
      <c r="BE158" s="7" t="s">
        <v>183</v>
      </c>
      <c r="BF158" s="8">
        <v>16068000</v>
      </c>
      <c r="BG158" s="9">
        <v>6680</v>
      </c>
      <c r="BH158" s="10">
        <f t="shared" si="40"/>
        <v>-1.3293943870014813E-2</v>
      </c>
      <c r="BI158" s="10">
        <f t="shared" si="41"/>
        <v>-1.338309937562931E-2</v>
      </c>
    </row>
    <row r="159" spans="2:61" x14ac:dyDescent="0.4">
      <c r="B159" s="5">
        <v>151</v>
      </c>
      <c r="C159" s="7" t="s">
        <v>184</v>
      </c>
      <c r="D159" s="8">
        <v>24054799</v>
      </c>
      <c r="E159" s="9">
        <v>8750</v>
      </c>
      <c r="F159" s="10">
        <f t="shared" si="28"/>
        <v>-9.0600226500566761E-3</v>
      </c>
      <c r="G159" s="10">
        <f t="shared" si="29"/>
        <v>-9.1013142463456358E-3</v>
      </c>
      <c r="K159" s="5">
        <v>151</v>
      </c>
      <c r="L159" s="7" t="s">
        <v>184</v>
      </c>
      <c r="M159" s="8">
        <v>21929315</v>
      </c>
      <c r="N159" s="9">
        <v>12030</v>
      </c>
      <c r="O159" s="10">
        <f t="shared" si="30"/>
        <v>1.51898734177216E-2</v>
      </c>
      <c r="P159" s="10">
        <f t="shared" si="31"/>
        <v>1.5075662405447396E-2</v>
      </c>
      <c r="T159" s="5">
        <v>151</v>
      </c>
      <c r="U159" s="7" t="s">
        <v>184</v>
      </c>
      <c r="V159" s="8">
        <v>26014161</v>
      </c>
      <c r="W159" s="9">
        <v>6940</v>
      </c>
      <c r="X159" s="10">
        <f t="shared" si="32"/>
        <v>-4.3041606886656814E-3</v>
      </c>
      <c r="Y159" s="10">
        <f t="shared" si="33"/>
        <v>-4.3134502537193536E-3</v>
      </c>
      <c r="AC159" s="5">
        <v>151</v>
      </c>
      <c r="AD159" s="7" t="s">
        <v>184</v>
      </c>
      <c r="AE159" s="8">
        <v>35798007</v>
      </c>
      <c r="AF159" s="9">
        <v>42000</v>
      </c>
      <c r="AG159" s="10">
        <f t="shared" si="34"/>
        <v>-3.558718861209953E-3</v>
      </c>
      <c r="AH159" s="10">
        <f t="shared" si="35"/>
        <v>-3.5650661644961459E-3</v>
      </c>
      <c r="AL159" s="5">
        <v>151</v>
      </c>
      <c r="AM159" s="7" t="s">
        <v>184</v>
      </c>
      <c r="AN159" s="8">
        <v>58492759</v>
      </c>
      <c r="AO159" s="9">
        <v>126200</v>
      </c>
      <c r="AP159" s="10">
        <f t="shared" si="36"/>
        <v>3.4426229508196737E-2</v>
      </c>
      <c r="AQ159" s="10">
        <f t="shared" si="37"/>
        <v>3.3846905373856241E-2</v>
      </c>
      <c r="AU159" s="5">
        <v>151</v>
      </c>
      <c r="AV159" s="7" t="s">
        <v>184</v>
      </c>
      <c r="AW159" s="8">
        <v>40000000</v>
      </c>
      <c r="AX159" s="9">
        <v>2350</v>
      </c>
      <c r="AY159" s="10">
        <f t="shared" si="38"/>
        <v>4.2735042735042583E-3</v>
      </c>
      <c r="AZ159" s="10">
        <f t="shared" si="39"/>
        <v>4.264398786457518E-3</v>
      </c>
      <c r="BD159" s="5">
        <v>151</v>
      </c>
      <c r="BE159" s="7" t="s">
        <v>184</v>
      </c>
      <c r="BF159" s="8">
        <v>16068000</v>
      </c>
      <c r="BG159" s="9">
        <v>6770</v>
      </c>
      <c r="BH159" s="10">
        <f t="shared" si="40"/>
        <v>1.4792899408284654E-3</v>
      </c>
      <c r="BI159" s="10">
        <f t="shared" si="41"/>
        <v>1.4781968693109652E-3</v>
      </c>
    </row>
    <row r="160" spans="2:61" x14ac:dyDescent="0.4">
      <c r="B160" s="5">
        <v>152</v>
      </c>
      <c r="C160" s="7" t="s">
        <v>185</v>
      </c>
      <c r="D160" s="8">
        <v>24054799</v>
      </c>
      <c r="E160" s="9">
        <v>8830</v>
      </c>
      <c r="F160" s="10">
        <f t="shared" si="28"/>
        <v>3.3957845433255196E-2</v>
      </c>
      <c r="G160" s="10">
        <f t="shared" si="29"/>
        <v>3.3394006815390079E-2</v>
      </c>
      <c r="K160" s="5">
        <v>152</v>
      </c>
      <c r="L160" s="7" t="s">
        <v>185</v>
      </c>
      <c r="M160" s="8">
        <v>21929315</v>
      </c>
      <c r="N160" s="9">
        <v>11850</v>
      </c>
      <c r="O160" s="10">
        <f t="shared" si="30"/>
        <v>1.2820512820512775E-2</v>
      </c>
      <c r="P160" s="10">
        <f t="shared" si="31"/>
        <v>1.2739025777429712E-2</v>
      </c>
      <c r="T160" s="5">
        <v>152</v>
      </c>
      <c r="U160" s="7" t="s">
        <v>185</v>
      </c>
      <c r="V160" s="8">
        <v>26014161</v>
      </c>
      <c r="W160" s="9">
        <v>6970</v>
      </c>
      <c r="X160" s="10">
        <f t="shared" si="32"/>
        <v>1.7518248175182549E-2</v>
      </c>
      <c r="Y160" s="10">
        <f t="shared" si="33"/>
        <v>1.736657249829866E-2</v>
      </c>
      <c r="AC160" s="5">
        <v>152</v>
      </c>
      <c r="AD160" s="7" t="s">
        <v>185</v>
      </c>
      <c r="AE160" s="8">
        <v>35798007</v>
      </c>
      <c r="AF160" s="9">
        <v>42150</v>
      </c>
      <c r="AG160" s="10">
        <f t="shared" si="34"/>
        <v>4.3316831683168244E-2</v>
      </c>
      <c r="AH160" s="10">
        <f t="shared" si="35"/>
        <v>4.2404899480760011E-2</v>
      </c>
      <c r="AL160" s="5">
        <v>152</v>
      </c>
      <c r="AM160" s="7" t="s">
        <v>185</v>
      </c>
      <c r="AN160" s="8">
        <v>58492759</v>
      </c>
      <c r="AO160" s="9">
        <v>122000</v>
      </c>
      <c r="AP160" s="10">
        <f t="shared" si="36"/>
        <v>5.7708161582852302E-3</v>
      </c>
      <c r="AQ160" s="10">
        <f t="shared" si="37"/>
        <v>5.7542287832520987E-3</v>
      </c>
      <c r="AU160" s="5">
        <v>152</v>
      </c>
      <c r="AV160" s="7" t="s">
        <v>185</v>
      </c>
      <c r="AW160" s="8">
        <v>40000000</v>
      </c>
      <c r="AX160" s="9">
        <v>2340</v>
      </c>
      <c r="AY160" s="10">
        <f t="shared" si="38"/>
        <v>4.2918454935623185E-3</v>
      </c>
      <c r="AZ160" s="10">
        <f t="shared" si="39"/>
        <v>4.2826617920009493E-3</v>
      </c>
      <c r="BD160" s="5">
        <v>152</v>
      </c>
      <c r="BE160" s="7" t="s">
        <v>185</v>
      </c>
      <c r="BF160" s="8">
        <v>16068000</v>
      </c>
      <c r="BG160" s="9">
        <v>6760</v>
      </c>
      <c r="BH160" s="10">
        <f t="shared" si="40"/>
        <v>5.9523809523809312E-3</v>
      </c>
      <c r="BI160" s="10">
        <f t="shared" si="41"/>
        <v>5.9347355198145265E-3</v>
      </c>
    </row>
    <row r="161" spans="2:61" x14ac:dyDescent="0.4">
      <c r="B161" s="5">
        <v>153</v>
      </c>
      <c r="C161" s="7" t="s">
        <v>186</v>
      </c>
      <c r="D161" s="8">
        <v>24054799</v>
      </c>
      <c r="E161" s="9">
        <v>8540</v>
      </c>
      <c r="F161" s="10">
        <f t="shared" si="28"/>
        <v>-5.1111111111111107E-2</v>
      </c>
      <c r="G161" s="10">
        <f t="shared" si="29"/>
        <v>-5.2463569535740884E-2</v>
      </c>
      <c r="K161" s="5">
        <v>153</v>
      </c>
      <c r="L161" s="7" t="s">
        <v>186</v>
      </c>
      <c r="M161" s="8">
        <v>21929315</v>
      </c>
      <c r="N161" s="9">
        <v>11700</v>
      </c>
      <c r="O161" s="10">
        <f t="shared" si="30"/>
        <v>-1.3490725126475533E-2</v>
      </c>
      <c r="P161" s="10">
        <f t="shared" si="31"/>
        <v>-1.3582551765868945E-2</v>
      </c>
      <c r="T161" s="5">
        <v>153</v>
      </c>
      <c r="U161" s="7" t="s">
        <v>186</v>
      </c>
      <c r="V161" s="8">
        <v>26014161</v>
      </c>
      <c r="W161" s="9">
        <v>6850</v>
      </c>
      <c r="X161" s="10">
        <f t="shared" si="32"/>
        <v>-1.8624641833810851E-2</v>
      </c>
      <c r="Y161" s="10">
        <f t="shared" si="33"/>
        <v>-1.8800264500147146E-2</v>
      </c>
      <c r="AC161" s="5">
        <v>153</v>
      </c>
      <c r="AD161" s="7" t="s">
        <v>186</v>
      </c>
      <c r="AE161" s="8">
        <v>35798007</v>
      </c>
      <c r="AF161" s="9">
        <v>40400</v>
      </c>
      <c r="AG161" s="10">
        <f t="shared" si="34"/>
        <v>6.2266500622665255E-3</v>
      </c>
      <c r="AH161" s="10">
        <f t="shared" si="35"/>
        <v>6.2073445743337308E-3</v>
      </c>
      <c r="AL161" s="5">
        <v>153</v>
      </c>
      <c r="AM161" s="7" t="s">
        <v>186</v>
      </c>
      <c r="AN161" s="8">
        <v>58492759</v>
      </c>
      <c r="AO161" s="9">
        <v>121300</v>
      </c>
      <c r="AP161" s="10">
        <f t="shared" si="36"/>
        <v>-1.462225832656372E-2</v>
      </c>
      <c r="AQ161" s="10">
        <f t="shared" si="37"/>
        <v>-1.4730217240403329E-2</v>
      </c>
      <c r="AU161" s="5">
        <v>153</v>
      </c>
      <c r="AV161" s="7" t="s">
        <v>186</v>
      </c>
      <c r="AW161" s="8">
        <v>40000000</v>
      </c>
      <c r="AX161" s="9">
        <v>2330</v>
      </c>
      <c r="AY161" s="10">
        <f t="shared" si="38"/>
        <v>-4.2735042735042583E-3</v>
      </c>
      <c r="AZ161" s="10">
        <f t="shared" si="39"/>
        <v>-4.2826617920008478E-3</v>
      </c>
      <c r="BD161" s="5">
        <v>153</v>
      </c>
      <c r="BE161" s="7" t="s">
        <v>186</v>
      </c>
      <c r="BF161" s="8">
        <v>16068000</v>
      </c>
      <c r="BG161" s="9">
        <v>6720</v>
      </c>
      <c r="BH161" s="10">
        <f t="shared" si="40"/>
        <v>-1.1764705882352899E-2</v>
      </c>
      <c r="BI161" s="10">
        <f t="shared" si="41"/>
        <v>-1.1834457647002796E-2</v>
      </c>
    </row>
    <row r="162" spans="2:61" x14ac:dyDescent="0.4">
      <c r="B162" s="5">
        <v>154</v>
      </c>
      <c r="C162" s="7" t="s">
        <v>187</v>
      </c>
      <c r="D162" s="8">
        <v>24054799</v>
      </c>
      <c r="E162" s="9">
        <v>9000</v>
      </c>
      <c r="F162" s="10">
        <f t="shared" si="28"/>
        <v>-2.0674646354733373E-2</v>
      </c>
      <c r="G162" s="10">
        <f t="shared" si="29"/>
        <v>-2.0891359031376264E-2</v>
      </c>
      <c r="K162" s="5">
        <v>154</v>
      </c>
      <c r="L162" s="7" t="s">
        <v>187</v>
      </c>
      <c r="M162" s="8">
        <v>21929315</v>
      </c>
      <c r="N162" s="9">
        <v>11860</v>
      </c>
      <c r="O162" s="10">
        <f t="shared" si="30"/>
        <v>-2.5472473294987696E-2</v>
      </c>
      <c r="P162" s="10">
        <f t="shared" si="31"/>
        <v>-2.5802513429856434E-2</v>
      </c>
      <c r="T162" s="5">
        <v>154</v>
      </c>
      <c r="U162" s="7" t="s">
        <v>187</v>
      </c>
      <c r="V162" s="8">
        <v>26014161</v>
      </c>
      <c r="W162" s="9">
        <v>6980</v>
      </c>
      <c r="X162" s="10">
        <f t="shared" si="32"/>
        <v>-2.8571428571428914E-3</v>
      </c>
      <c r="Y162" s="10">
        <f t="shared" si="33"/>
        <v>-2.8612322810322348E-3</v>
      </c>
      <c r="AC162" s="5">
        <v>154</v>
      </c>
      <c r="AD162" s="7" t="s">
        <v>187</v>
      </c>
      <c r="AE162" s="8">
        <v>35798007</v>
      </c>
      <c r="AF162" s="9">
        <v>40150</v>
      </c>
      <c r="AG162" s="10">
        <f t="shared" si="34"/>
        <v>-2.192448233861144E-2</v>
      </c>
      <c r="AH162" s="10">
        <f t="shared" si="35"/>
        <v>-2.2168395505666537E-2</v>
      </c>
      <c r="AL162" s="5">
        <v>154</v>
      </c>
      <c r="AM162" s="7" t="s">
        <v>187</v>
      </c>
      <c r="AN162" s="8">
        <v>58492759</v>
      </c>
      <c r="AO162" s="9">
        <v>123100</v>
      </c>
      <c r="AP162" s="10">
        <f t="shared" si="36"/>
        <v>1.483924154987637E-2</v>
      </c>
      <c r="AQ162" s="10">
        <f t="shared" si="37"/>
        <v>1.4730217240403409E-2</v>
      </c>
      <c r="AU162" s="5">
        <v>154</v>
      </c>
      <c r="AV162" s="7" t="s">
        <v>187</v>
      </c>
      <c r="AW162" s="8">
        <v>40000000</v>
      </c>
      <c r="AX162" s="9">
        <v>2340</v>
      </c>
      <c r="AY162" s="10">
        <f t="shared" si="38"/>
        <v>-3.9014373716632411E-2</v>
      </c>
      <c r="AZ162" s="10">
        <f t="shared" si="39"/>
        <v>-3.9795827164943016E-2</v>
      </c>
      <c r="BD162" s="5">
        <v>154</v>
      </c>
      <c r="BE162" s="7" t="s">
        <v>187</v>
      </c>
      <c r="BF162" s="8">
        <v>16068000</v>
      </c>
      <c r="BG162" s="9">
        <v>6800</v>
      </c>
      <c r="BH162" s="10">
        <f t="shared" si="40"/>
        <v>-3.1339031339031376E-2</v>
      </c>
      <c r="BI162" s="10">
        <f t="shared" si="41"/>
        <v>-3.1840605855658774E-2</v>
      </c>
    </row>
    <row r="163" spans="2:61" x14ac:dyDescent="0.4">
      <c r="B163" s="5">
        <v>155</v>
      </c>
      <c r="C163" s="7" t="s">
        <v>188</v>
      </c>
      <c r="D163" s="8">
        <v>24054799</v>
      </c>
      <c r="E163" s="9">
        <v>9190</v>
      </c>
      <c r="F163" s="10">
        <f t="shared" si="28"/>
        <v>-1.076426264800856E-2</v>
      </c>
      <c r="G163" s="10">
        <f t="shared" si="29"/>
        <v>-1.0822616458151416E-2</v>
      </c>
      <c r="K163" s="5">
        <v>155</v>
      </c>
      <c r="L163" s="7" t="s">
        <v>188</v>
      </c>
      <c r="M163" s="8">
        <v>21929315</v>
      </c>
      <c r="N163" s="9">
        <v>12170</v>
      </c>
      <c r="O163" s="10">
        <f t="shared" si="30"/>
        <v>-2.873104549082206E-2</v>
      </c>
      <c r="P163" s="10">
        <f t="shared" si="31"/>
        <v>-2.9151861908541164E-2</v>
      </c>
      <c r="T163" s="5">
        <v>155</v>
      </c>
      <c r="U163" s="7" t="s">
        <v>188</v>
      </c>
      <c r="V163" s="8">
        <v>26014161</v>
      </c>
      <c r="W163" s="9">
        <v>7000</v>
      </c>
      <c r="X163" s="10">
        <f t="shared" si="32"/>
        <v>-2.2346368715083775E-2</v>
      </c>
      <c r="Y163" s="10">
        <f t="shared" si="33"/>
        <v>-2.2599831917240919E-2</v>
      </c>
      <c r="AC163" s="5">
        <v>155</v>
      </c>
      <c r="AD163" s="7" t="s">
        <v>188</v>
      </c>
      <c r="AE163" s="8">
        <v>35798007</v>
      </c>
      <c r="AF163" s="9">
        <v>41050</v>
      </c>
      <c r="AG163" s="10">
        <f t="shared" si="34"/>
        <v>1.8610421836228186E-2</v>
      </c>
      <c r="AH163" s="10">
        <f t="shared" si="35"/>
        <v>1.843936694579983E-2</v>
      </c>
      <c r="AL163" s="5">
        <v>155</v>
      </c>
      <c r="AM163" s="7" t="s">
        <v>188</v>
      </c>
      <c r="AN163" s="8">
        <v>58492759</v>
      </c>
      <c r="AO163" s="9">
        <v>121300</v>
      </c>
      <c r="AP163" s="10">
        <f t="shared" si="36"/>
        <v>-1.7813765182186247E-2</v>
      </c>
      <c r="AQ163" s="10">
        <f t="shared" si="37"/>
        <v>-1.7974340118027454E-2</v>
      </c>
      <c r="AU163" s="5">
        <v>155</v>
      </c>
      <c r="AV163" s="7" t="s">
        <v>188</v>
      </c>
      <c r="AW163" s="8">
        <v>40000000</v>
      </c>
      <c r="AX163" s="9">
        <v>2435</v>
      </c>
      <c r="AY163" s="10">
        <f t="shared" si="38"/>
        <v>-1.0162601626016232E-2</v>
      </c>
      <c r="AZ163" s="10">
        <f t="shared" si="39"/>
        <v>-1.0214593409718295E-2</v>
      </c>
      <c r="BD163" s="5">
        <v>155</v>
      </c>
      <c r="BE163" s="7" t="s">
        <v>188</v>
      </c>
      <c r="BF163" s="8">
        <v>16068000</v>
      </c>
      <c r="BG163" s="9">
        <v>7020</v>
      </c>
      <c r="BH163" s="10">
        <f t="shared" si="40"/>
        <v>-1.5427769985974726E-2</v>
      </c>
      <c r="BI163" s="10">
        <f t="shared" si="41"/>
        <v>-1.5548016388484789E-2</v>
      </c>
    </row>
    <row r="164" spans="2:61" x14ac:dyDescent="0.4">
      <c r="B164" s="5">
        <v>156</v>
      </c>
      <c r="C164" s="7" t="s">
        <v>189</v>
      </c>
      <c r="D164" s="8">
        <v>24054799</v>
      </c>
      <c r="E164" s="9">
        <v>9290</v>
      </c>
      <c r="F164" s="10">
        <f t="shared" si="28"/>
        <v>9.782608695652284E-3</v>
      </c>
      <c r="G164" s="10">
        <f t="shared" si="29"/>
        <v>9.7350687707526331E-3</v>
      </c>
      <c r="K164" s="5">
        <v>156</v>
      </c>
      <c r="L164" s="7" t="s">
        <v>189</v>
      </c>
      <c r="M164" s="8">
        <v>21929315</v>
      </c>
      <c r="N164" s="9">
        <v>12530</v>
      </c>
      <c r="O164" s="10">
        <f t="shared" si="30"/>
        <v>2.7891714520098532E-2</v>
      </c>
      <c r="P164" s="10">
        <f t="shared" si="31"/>
        <v>2.7509825414796865E-2</v>
      </c>
      <c r="T164" s="5">
        <v>156</v>
      </c>
      <c r="U164" s="7" t="s">
        <v>189</v>
      </c>
      <c r="V164" s="8">
        <v>26014161</v>
      </c>
      <c r="W164" s="9">
        <v>7160</v>
      </c>
      <c r="X164" s="10">
        <f t="shared" si="32"/>
        <v>-6.9348127600554754E-3</v>
      </c>
      <c r="Y164" s="10">
        <f t="shared" si="33"/>
        <v>-6.9589703243034574E-3</v>
      </c>
      <c r="AC164" s="5">
        <v>156</v>
      </c>
      <c r="AD164" s="7" t="s">
        <v>189</v>
      </c>
      <c r="AE164" s="8">
        <v>35798007</v>
      </c>
      <c r="AF164" s="9">
        <v>40300</v>
      </c>
      <c r="AG164" s="10">
        <f t="shared" si="34"/>
        <v>3.3333333333333437E-2</v>
      </c>
      <c r="AH164" s="10">
        <f t="shared" si="35"/>
        <v>3.278982282299097E-2</v>
      </c>
      <c r="AL164" s="5">
        <v>156</v>
      </c>
      <c r="AM164" s="7" t="s">
        <v>189</v>
      </c>
      <c r="AN164" s="8">
        <v>58492759</v>
      </c>
      <c r="AO164" s="9">
        <v>123500</v>
      </c>
      <c r="AP164" s="10">
        <f t="shared" si="36"/>
        <v>6.5199674001630292E-3</v>
      </c>
      <c r="AQ164" s="10">
        <f t="shared" si="37"/>
        <v>6.4988043511661634E-3</v>
      </c>
      <c r="AU164" s="5">
        <v>156</v>
      </c>
      <c r="AV164" s="7" t="s">
        <v>189</v>
      </c>
      <c r="AW164" s="8">
        <v>40000000</v>
      </c>
      <c r="AX164" s="9">
        <v>2460</v>
      </c>
      <c r="AY164" s="10">
        <f t="shared" si="38"/>
        <v>1.0266940451745477E-2</v>
      </c>
      <c r="AZ164" s="10">
        <f t="shared" si="39"/>
        <v>1.021459340971842E-2</v>
      </c>
      <c r="BD164" s="5">
        <v>156</v>
      </c>
      <c r="BE164" s="7" t="s">
        <v>189</v>
      </c>
      <c r="BF164" s="8">
        <v>16068000</v>
      </c>
      <c r="BG164" s="9">
        <v>7130</v>
      </c>
      <c r="BH164" s="10">
        <f t="shared" si="40"/>
        <v>4.2253521126760507E-3</v>
      </c>
      <c r="BI164" s="10">
        <f t="shared" si="41"/>
        <v>4.2164503789348254E-3</v>
      </c>
    </row>
    <row r="165" spans="2:61" x14ac:dyDescent="0.4">
      <c r="B165" s="5">
        <v>157</v>
      </c>
      <c r="C165" s="7" t="s">
        <v>190</v>
      </c>
      <c r="D165" s="8">
        <v>24054799</v>
      </c>
      <c r="E165" s="9">
        <v>9200</v>
      </c>
      <c r="F165" s="10">
        <f t="shared" si="28"/>
        <v>-2.4390243902439046E-2</v>
      </c>
      <c r="G165" s="10">
        <f t="shared" si="29"/>
        <v>-2.4692612590371522E-2</v>
      </c>
      <c r="K165" s="5">
        <v>157</v>
      </c>
      <c r="L165" s="7" t="s">
        <v>190</v>
      </c>
      <c r="M165" s="8">
        <v>21929315</v>
      </c>
      <c r="N165" s="9">
        <v>12190</v>
      </c>
      <c r="O165" s="10">
        <f t="shared" si="30"/>
        <v>7.4380165289256173E-3</v>
      </c>
      <c r="P165" s="10">
        <f t="shared" si="31"/>
        <v>7.4104908904847507E-3</v>
      </c>
      <c r="T165" s="5">
        <v>157</v>
      </c>
      <c r="U165" s="7" t="s">
        <v>190</v>
      </c>
      <c r="V165" s="8">
        <v>26014161</v>
      </c>
      <c r="W165" s="9">
        <v>7210</v>
      </c>
      <c r="X165" s="10">
        <f t="shared" si="32"/>
        <v>9.8039215686274161E-3</v>
      </c>
      <c r="Y165" s="10">
        <f t="shared" si="33"/>
        <v>9.7561749453646558E-3</v>
      </c>
      <c r="AC165" s="5">
        <v>157</v>
      </c>
      <c r="AD165" s="7" t="s">
        <v>190</v>
      </c>
      <c r="AE165" s="8">
        <v>35798007</v>
      </c>
      <c r="AF165" s="9">
        <v>39000</v>
      </c>
      <c r="AG165" s="10">
        <f t="shared" si="34"/>
        <v>1.4304291287386306E-2</v>
      </c>
      <c r="AH165" s="10">
        <f t="shared" si="35"/>
        <v>1.4202950177993535E-2</v>
      </c>
      <c r="AL165" s="5">
        <v>157</v>
      </c>
      <c r="AM165" s="7" t="s">
        <v>190</v>
      </c>
      <c r="AN165" s="8">
        <v>58492759</v>
      </c>
      <c r="AO165" s="9">
        <v>122700</v>
      </c>
      <c r="AP165" s="10">
        <f t="shared" si="36"/>
        <v>-4.0584415584415945E-3</v>
      </c>
      <c r="AQ165" s="10">
        <f t="shared" si="37"/>
        <v>-4.0666993825536858E-3</v>
      </c>
      <c r="AU165" s="5">
        <v>157</v>
      </c>
      <c r="AV165" s="7" t="s">
        <v>190</v>
      </c>
      <c r="AW165" s="8">
        <v>40000000</v>
      </c>
      <c r="AX165" s="9">
        <v>2435</v>
      </c>
      <c r="AY165" s="10">
        <f t="shared" si="38"/>
        <v>6.1983471074380514E-3</v>
      </c>
      <c r="AZ165" s="10">
        <f t="shared" si="39"/>
        <v>6.1792163659581184E-3</v>
      </c>
      <c r="BD165" s="5">
        <v>157</v>
      </c>
      <c r="BE165" s="7" t="s">
        <v>190</v>
      </c>
      <c r="BF165" s="8">
        <v>16068000</v>
      </c>
      <c r="BG165" s="9">
        <v>7100</v>
      </c>
      <c r="BH165" s="10">
        <f t="shared" si="40"/>
        <v>7.0921985815601829E-3</v>
      </c>
      <c r="BI165" s="10">
        <f t="shared" si="41"/>
        <v>7.0671672230923528E-3</v>
      </c>
    </row>
    <row r="166" spans="2:61" x14ac:dyDescent="0.4">
      <c r="B166" s="5">
        <v>158</v>
      </c>
      <c r="C166" s="7" t="s">
        <v>191</v>
      </c>
      <c r="D166" s="8">
        <v>24054799</v>
      </c>
      <c r="E166" s="9">
        <v>9430</v>
      </c>
      <c r="F166" s="10">
        <f t="shared" si="28"/>
        <v>1.3978494623655857E-2</v>
      </c>
      <c r="G166" s="10">
        <f t="shared" si="29"/>
        <v>1.3881696486155818E-2</v>
      </c>
      <c r="K166" s="5">
        <v>158</v>
      </c>
      <c r="L166" s="7" t="s">
        <v>191</v>
      </c>
      <c r="M166" s="8">
        <v>21929315</v>
      </c>
      <c r="N166" s="9">
        <v>12100</v>
      </c>
      <c r="O166" s="10">
        <f t="shared" si="30"/>
        <v>-1.6260162601625994E-2</v>
      </c>
      <c r="P166" s="10">
        <f t="shared" si="31"/>
        <v>-1.6393809775676383E-2</v>
      </c>
      <c r="T166" s="5">
        <v>158</v>
      </c>
      <c r="U166" s="7" t="s">
        <v>191</v>
      </c>
      <c r="V166" s="8">
        <v>26014161</v>
      </c>
      <c r="W166" s="9">
        <v>7140</v>
      </c>
      <c r="X166" s="10">
        <f t="shared" si="32"/>
        <v>-9.7087378640776656E-3</v>
      </c>
      <c r="Y166" s="10">
        <f t="shared" si="33"/>
        <v>-9.7561749453646852E-3</v>
      </c>
      <c r="AC166" s="5">
        <v>158</v>
      </c>
      <c r="AD166" s="7" t="s">
        <v>191</v>
      </c>
      <c r="AE166" s="8">
        <v>35798007</v>
      </c>
      <c r="AF166" s="9">
        <v>38450</v>
      </c>
      <c r="AG166" s="10">
        <f t="shared" si="34"/>
        <v>-6.2195121951219567E-2</v>
      </c>
      <c r="AH166" s="10">
        <f t="shared" si="35"/>
        <v>-6.4213370752654889E-2</v>
      </c>
      <c r="AL166" s="5">
        <v>158</v>
      </c>
      <c r="AM166" s="7" t="s">
        <v>191</v>
      </c>
      <c r="AN166" s="8">
        <v>58492759</v>
      </c>
      <c r="AO166" s="9">
        <v>123200</v>
      </c>
      <c r="AP166" s="10">
        <f t="shared" si="36"/>
        <v>-1.8326693227091684E-2</v>
      </c>
      <c r="AQ166" s="10">
        <f t="shared" si="37"/>
        <v>-1.8496707472419226E-2</v>
      </c>
      <c r="AU166" s="5">
        <v>158</v>
      </c>
      <c r="AV166" s="7" t="s">
        <v>191</v>
      </c>
      <c r="AW166" s="8">
        <v>40000000</v>
      </c>
      <c r="AX166" s="9">
        <v>2420</v>
      </c>
      <c r="AY166" s="10">
        <f t="shared" si="38"/>
        <v>-4.1152263374485409E-3</v>
      </c>
      <c r="AZ166" s="10">
        <f t="shared" si="39"/>
        <v>-4.1237171838620409E-3</v>
      </c>
      <c r="BD166" s="5">
        <v>158</v>
      </c>
      <c r="BE166" s="7" t="s">
        <v>191</v>
      </c>
      <c r="BF166" s="8">
        <v>16068000</v>
      </c>
      <c r="BG166" s="9">
        <v>7050</v>
      </c>
      <c r="BH166" s="10">
        <f t="shared" si="40"/>
        <v>-1.947148817802502E-2</v>
      </c>
      <c r="BI166" s="10">
        <f t="shared" si="41"/>
        <v>-1.9663554908778021E-2</v>
      </c>
    </row>
    <row r="167" spans="2:61" x14ac:dyDescent="0.4">
      <c r="B167" s="5">
        <v>159</v>
      </c>
      <c r="C167" s="7" t="s">
        <v>192</v>
      </c>
      <c r="D167" s="8">
        <v>24054799</v>
      </c>
      <c r="E167" s="9">
        <v>9300</v>
      </c>
      <c r="F167" s="10">
        <f t="shared" si="28"/>
        <v>-3.6269430051813489E-2</v>
      </c>
      <c r="G167" s="10">
        <f t="shared" si="29"/>
        <v>-3.6943515191684324E-2</v>
      </c>
      <c r="K167" s="5">
        <v>159</v>
      </c>
      <c r="L167" s="7" t="s">
        <v>192</v>
      </c>
      <c r="M167" s="8">
        <v>21929315</v>
      </c>
      <c r="N167" s="9">
        <v>12300</v>
      </c>
      <c r="O167" s="10">
        <f t="shared" si="30"/>
        <v>-1.12540192926045E-2</v>
      </c>
      <c r="P167" s="10">
        <f t="shared" si="31"/>
        <v>-1.1317824932661572E-2</v>
      </c>
      <c r="T167" s="5">
        <v>159</v>
      </c>
      <c r="U167" s="7" t="s">
        <v>192</v>
      </c>
      <c r="V167" s="8">
        <v>26014161</v>
      </c>
      <c r="W167" s="9">
        <v>7210</v>
      </c>
      <c r="X167" s="10">
        <f t="shared" si="32"/>
        <v>4.1782729805013297E-3</v>
      </c>
      <c r="Y167" s="10">
        <f t="shared" si="33"/>
        <v>4.1695682367248309E-3</v>
      </c>
      <c r="AC167" s="5">
        <v>159</v>
      </c>
      <c r="AD167" s="7" t="s">
        <v>192</v>
      </c>
      <c r="AE167" s="8">
        <v>35798007</v>
      </c>
      <c r="AF167" s="9">
        <v>41000</v>
      </c>
      <c r="AG167" s="10">
        <f t="shared" si="34"/>
        <v>3.6719706242349659E-3</v>
      </c>
      <c r="AH167" s="10">
        <f t="shared" si="35"/>
        <v>3.6652453982958738E-3</v>
      </c>
      <c r="AL167" s="5">
        <v>159</v>
      </c>
      <c r="AM167" s="7" t="s">
        <v>192</v>
      </c>
      <c r="AN167" s="8">
        <v>58492759</v>
      </c>
      <c r="AO167" s="9">
        <v>125500</v>
      </c>
      <c r="AP167" s="10">
        <f t="shared" si="36"/>
        <v>2.3961661341853624E-3</v>
      </c>
      <c r="AQ167" s="10">
        <f t="shared" si="37"/>
        <v>2.393299905840484E-3</v>
      </c>
      <c r="AU167" s="5">
        <v>159</v>
      </c>
      <c r="AV167" s="7" t="s">
        <v>192</v>
      </c>
      <c r="AW167" s="8">
        <v>40000000</v>
      </c>
      <c r="AX167" s="9">
        <v>2430</v>
      </c>
      <c r="AY167" s="10">
        <f t="shared" si="38"/>
        <v>-6.1349693251533388E-3</v>
      </c>
      <c r="AZ167" s="10">
        <f t="shared" si="39"/>
        <v>-6.1538655743782235E-3</v>
      </c>
      <c r="BD167" s="5">
        <v>159</v>
      </c>
      <c r="BE167" s="7" t="s">
        <v>192</v>
      </c>
      <c r="BF167" s="8">
        <v>16068000</v>
      </c>
      <c r="BG167" s="9">
        <v>7190</v>
      </c>
      <c r="BH167" s="10">
        <f t="shared" si="40"/>
        <v>-1.388888888888884E-3</v>
      </c>
      <c r="BI167" s="10">
        <f t="shared" si="41"/>
        <v>-1.3898542890543016E-3</v>
      </c>
    </row>
    <row r="168" spans="2:61" x14ac:dyDescent="0.4">
      <c r="B168" s="5">
        <v>160</v>
      </c>
      <c r="C168" s="7" t="s">
        <v>193</v>
      </c>
      <c r="D168" s="8">
        <v>24054799</v>
      </c>
      <c r="E168" s="9">
        <v>9650</v>
      </c>
      <c r="F168" s="10">
        <f t="shared" si="28"/>
        <v>5.0054406964091358E-2</v>
      </c>
      <c r="G168" s="10">
        <f t="shared" si="29"/>
        <v>4.8841978983298832E-2</v>
      </c>
      <c r="K168" s="5">
        <v>160</v>
      </c>
      <c r="L168" s="7" t="s">
        <v>193</v>
      </c>
      <c r="M168" s="8">
        <v>21929315</v>
      </c>
      <c r="N168" s="9">
        <v>12440</v>
      </c>
      <c r="O168" s="10">
        <f t="shared" si="30"/>
        <v>5.6588520614389015E-3</v>
      </c>
      <c r="P168" s="10">
        <f t="shared" si="31"/>
        <v>5.6429009066367901E-3</v>
      </c>
      <c r="T168" s="5">
        <v>160</v>
      </c>
      <c r="U168" s="7" t="s">
        <v>193</v>
      </c>
      <c r="V168" s="8">
        <v>26014161</v>
      </c>
      <c r="W168" s="9">
        <v>7180</v>
      </c>
      <c r="X168" s="10">
        <f t="shared" si="32"/>
        <v>3.3093525179856087E-2</v>
      </c>
      <c r="Y168" s="10">
        <f t="shared" si="33"/>
        <v>3.255772348343202E-2</v>
      </c>
      <c r="AC168" s="5">
        <v>160</v>
      </c>
      <c r="AD168" s="7" t="s">
        <v>193</v>
      </c>
      <c r="AE168" s="8">
        <v>35798007</v>
      </c>
      <c r="AF168" s="9">
        <v>40850</v>
      </c>
      <c r="AG168" s="10">
        <f t="shared" si="34"/>
        <v>8.0687830687830697E-2</v>
      </c>
      <c r="AH168" s="10">
        <f t="shared" si="35"/>
        <v>7.7597718680469899E-2</v>
      </c>
      <c r="AL168" s="5">
        <v>160</v>
      </c>
      <c r="AM168" s="7" t="s">
        <v>193</v>
      </c>
      <c r="AN168" s="8">
        <v>58492759</v>
      </c>
      <c r="AO168" s="9">
        <v>125200</v>
      </c>
      <c r="AP168" s="10">
        <f t="shared" si="36"/>
        <v>1.540957015409572E-2</v>
      </c>
      <c r="AQ168" s="10">
        <f t="shared" si="37"/>
        <v>1.5292048495699555E-2</v>
      </c>
      <c r="AU168" s="5">
        <v>160</v>
      </c>
      <c r="AV168" s="7" t="s">
        <v>193</v>
      </c>
      <c r="AW168" s="8">
        <v>40000000</v>
      </c>
      <c r="AX168" s="9">
        <v>2445</v>
      </c>
      <c r="AY168" s="10">
        <f t="shared" si="38"/>
        <v>1.8750000000000044E-2</v>
      </c>
      <c r="AZ168" s="10">
        <f t="shared" si="39"/>
        <v>1.8576385572935457E-2</v>
      </c>
      <c r="BD168" s="5">
        <v>160</v>
      </c>
      <c r="BE168" s="7" t="s">
        <v>193</v>
      </c>
      <c r="BF168" s="8">
        <v>16068000</v>
      </c>
      <c r="BG168" s="9">
        <v>7200</v>
      </c>
      <c r="BH168" s="10">
        <f t="shared" si="40"/>
        <v>4.1841004184099972E-3</v>
      </c>
      <c r="BI168" s="10">
        <f t="shared" si="41"/>
        <v>4.175371410480592E-3</v>
      </c>
    </row>
    <row r="169" spans="2:61" x14ac:dyDescent="0.4">
      <c r="B169" s="5">
        <v>161</v>
      </c>
      <c r="C169" s="7" t="s">
        <v>194</v>
      </c>
      <c r="D169" s="8">
        <v>24054799</v>
      </c>
      <c r="E169" s="9">
        <v>9190</v>
      </c>
      <c r="F169" s="10">
        <f t="shared" si="28"/>
        <v>-9.6982758620689502E-3</v>
      </c>
      <c r="G169" s="10">
        <f t="shared" si="29"/>
        <v>-9.7456104305135086E-3</v>
      </c>
      <c r="K169" s="5">
        <v>161</v>
      </c>
      <c r="L169" s="7" t="s">
        <v>194</v>
      </c>
      <c r="M169" s="8">
        <v>21929315</v>
      </c>
      <c r="N169" s="9">
        <v>12370</v>
      </c>
      <c r="O169" s="10">
        <f t="shared" si="30"/>
        <v>-2.4193548387096975E-3</v>
      </c>
      <c r="P169" s="10">
        <f t="shared" si="31"/>
        <v>-2.4222862065946694E-3</v>
      </c>
      <c r="T169" s="5">
        <v>161</v>
      </c>
      <c r="U169" s="7" t="s">
        <v>194</v>
      </c>
      <c r="V169" s="8">
        <v>26014161</v>
      </c>
      <c r="W169" s="9">
        <v>6950</v>
      </c>
      <c r="X169" s="10">
        <f t="shared" si="32"/>
        <v>-1.1379800853485111E-2</v>
      </c>
      <c r="Y169" s="10">
        <f t="shared" si="33"/>
        <v>-1.1445046245872821E-2</v>
      </c>
      <c r="AC169" s="5">
        <v>161</v>
      </c>
      <c r="AD169" s="7" t="s">
        <v>194</v>
      </c>
      <c r="AE169" s="8">
        <v>35798007</v>
      </c>
      <c r="AF169" s="9">
        <v>37800</v>
      </c>
      <c r="AG169" s="10">
        <f t="shared" si="34"/>
        <v>-1.4341590612777066E-2</v>
      </c>
      <c r="AH169" s="10">
        <f t="shared" si="35"/>
        <v>-1.4445425187723201E-2</v>
      </c>
      <c r="AL169" s="5">
        <v>161</v>
      </c>
      <c r="AM169" s="7" t="s">
        <v>194</v>
      </c>
      <c r="AN169" s="8">
        <v>58492759</v>
      </c>
      <c r="AO169" s="9">
        <v>123300</v>
      </c>
      <c r="AP169" s="10">
        <f t="shared" si="36"/>
        <v>-1.8312101910827994E-2</v>
      </c>
      <c r="AQ169" s="10">
        <f t="shared" si="37"/>
        <v>-1.8481843863799655E-2</v>
      </c>
      <c r="AU169" s="5">
        <v>161</v>
      </c>
      <c r="AV169" s="7" t="s">
        <v>194</v>
      </c>
      <c r="AW169" s="8">
        <v>40000000</v>
      </c>
      <c r="AX169" s="9">
        <v>2400</v>
      </c>
      <c r="AY169" s="10">
        <f t="shared" si="38"/>
        <v>-4.1493775933609811E-3</v>
      </c>
      <c r="AZ169" s="10">
        <f t="shared" si="39"/>
        <v>-4.158010148663677E-3</v>
      </c>
      <c r="BD169" s="5">
        <v>161</v>
      </c>
      <c r="BE169" s="7" t="s">
        <v>194</v>
      </c>
      <c r="BF169" s="8">
        <v>16068000</v>
      </c>
      <c r="BG169" s="9">
        <v>7170</v>
      </c>
      <c r="BH169" s="10">
        <f t="shared" si="40"/>
        <v>-4.1666666666666519E-3</v>
      </c>
      <c r="BI169" s="10">
        <f t="shared" si="41"/>
        <v>-4.1753714104806215E-3</v>
      </c>
    </row>
    <row r="170" spans="2:61" x14ac:dyDescent="0.4">
      <c r="B170" s="5">
        <v>162</v>
      </c>
      <c r="C170" s="7" t="s">
        <v>195</v>
      </c>
      <c r="D170" s="8">
        <v>24054799</v>
      </c>
      <c r="E170" s="9">
        <v>9280</v>
      </c>
      <c r="F170" s="10">
        <f t="shared" si="28"/>
        <v>2.8824833702882469E-2</v>
      </c>
      <c r="G170" s="10">
        <f t="shared" si="29"/>
        <v>2.8417212723576904E-2</v>
      </c>
      <c r="K170" s="5">
        <v>162</v>
      </c>
      <c r="L170" s="7" t="s">
        <v>195</v>
      </c>
      <c r="M170" s="8">
        <v>21929315</v>
      </c>
      <c r="N170" s="9">
        <v>12400</v>
      </c>
      <c r="O170" s="10">
        <f t="shared" si="30"/>
        <v>1.0594947025264867E-2</v>
      </c>
      <c r="P170" s="10">
        <f t="shared" si="31"/>
        <v>1.0539213888171105E-2</v>
      </c>
      <c r="T170" s="5">
        <v>162</v>
      </c>
      <c r="U170" s="7" t="s">
        <v>195</v>
      </c>
      <c r="V170" s="8">
        <v>26014161</v>
      </c>
      <c r="W170" s="9">
        <v>7030</v>
      </c>
      <c r="X170" s="10">
        <f t="shared" si="32"/>
        <v>2.7777777777777679E-2</v>
      </c>
      <c r="Y170" s="10">
        <f t="shared" si="33"/>
        <v>2.7398974188114347E-2</v>
      </c>
      <c r="AC170" s="5">
        <v>162</v>
      </c>
      <c r="AD170" s="7" t="s">
        <v>195</v>
      </c>
      <c r="AE170" s="8">
        <v>35798007</v>
      </c>
      <c r="AF170" s="9">
        <v>38350</v>
      </c>
      <c r="AG170" s="10">
        <f t="shared" si="34"/>
        <v>1.3054830287206887E-3</v>
      </c>
      <c r="AH170" s="10">
        <f t="shared" si="35"/>
        <v>1.3046316266649492E-3</v>
      </c>
      <c r="AL170" s="5">
        <v>162</v>
      </c>
      <c r="AM170" s="7" t="s">
        <v>195</v>
      </c>
      <c r="AN170" s="8">
        <v>58492759</v>
      </c>
      <c r="AO170" s="9">
        <v>125600</v>
      </c>
      <c r="AP170" s="10">
        <f t="shared" si="36"/>
        <v>9.6463022508037621E-3</v>
      </c>
      <c r="AQ170" s="10">
        <f t="shared" si="37"/>
        <v>9.6000737290191374E-3</v>
      </c>
      <c r="AU170" s="5">
        <v>162</v>
      </c>
      <c r="AV170" s="7" t="s">
        <v>195</v>
      </c>
      <c r="AW170" s="8">
        <v>40000000</v>
      </c>
      <c r="AX170" s="9">
        <v>2410</v>
      </c>
      <c r="AY170" s="10">
        <f t="shared" si="38"/>
        <v>-2.0703933747412417E-3</v>
      </c>
      <c r="AZ170" s="10">
        <f t="shared" si="39"/>
        <v>-2.0725396019724233E-3</v>
      </c>
      <c r="BD170" s="5">
        <v>162</v>
      </c>
      <c r="BE170" s="7" t="s">
        <v>195</v>
      </c>
      <c r="BF170" s="8">
        <v>16068000</v>
      </c>
      <c r="BG170" s="9">
        <v>7200</v>
      </c>
      <c r="BH170" s="10">
        <f t="shared" si="40"/>
        <v>2.1276595744680771E-2</v>
      </c>
      <c r="BI170" s="10">
        <f t="shared" si="41"/>
        <v>2.1053409197832263E-2</v>
      </c>
    </row>
    <row r="171" spans="2:61" x14ac:dyDescent="0.4">
      <c r="B171" s="5">
        <v>163</v>
      </c>
      <c r="C171" s="7" t="s">
        <v>196</v>
      </c>
      <c r="D171" s="8">
        <v>24054799</v>
      </c>
      <c r="E171" s="9">
        <v>9020</v>
      </c>
      <c r="F171" s="10">
        <f t="shared" si="28"/>
        <v>7.8212290502792658E-3</v>
      </c>
      <c r="G171" s="10">
        <f t="shared" si="29"/>
        <v>7.790801787768223E-3</v>
      </c>
      <c r="K171" s="5">
        <v>163</v>
      </c>
      <c r="L171" s="7" t="s">
        <v>196</v>
      </c>
      <c r="M171" s="8">
        <v>21929315</v>
      </c>
      <c r="N171" s="9">
        <v>12270</v>
      </c>
      <c r="O171" s="10">
        <f t="shared" si="30"/>
        <v>4.0916530278232166E-3</v>
      </c>
      <c r="P171" s="10">
        <f t="shared" si="31"/>
        <v>4.0833049793707809E-3</v>
      </c>
      <c r="T171" s="5">
        <v>163</v>
      </c>
      <c r="U171" s="7" t="s">
        <v>196</v>
      </c>
      <c r="V171" s="8">
        <v>26014161</v>
      </c>
      <c r="W171" s="9">
        <v>6840</v>
      </c>
      <c r="X171" s="10">
        <f t="shared" si="32"/>
        <v>-1.4409221902017322E-2</v>
      </c>
      <c r="Y171" s="10">
        <f t="shared" si="33"/>
        <v>-1.4514042884254071E-2</v>
      </c>
      <c r="AC171" s="5">
        <v>163</v>
      </c>
      <c r="AD171" s="7" t="s">
        <v>196</v>
      </c>
      <c r="AE171" s="8">
        <v>35798007</v>
      </c>
      <c r="AF171" s="9">
        <v>38300</v>
      </c>
      <c r="AG171" s="10">
        <f t="shared" si="34"/>
        <v>-7.7720207253886286E-3</v>
      </c>
      <c r="AH171" s="10">
        <f t="shared" si="35"/>
        <v>-7.802380284184899E-3</v>
      </c>
      <c r="AL171" s="5">
        <v>163</v>
      </c>
      <c r="AM171" s="7" t="s">
        <v>196</v>
      </c>
      <c r="AN171" s="8">
        <v>58492759</v>
      </c>
      <c r="AO171" s="9">
        <v>124400</v>
      </c>
      <c r="AP171" s="10">
        <f t="shared" si="36"/>
        <v>1.0560519902518273E-2</v>
      </c>
      <c r="AQ171" s="10">
        <f t="shared" si="37"/>
        <v>1.0505147114671237E-2</v>
      </c>
      <c r="AU171" s="5">
        <v>163</v>
      </c>
      <c r="AV171" s="7" t="s">
        <v>196</v>
      </c>
      <c r="AW171" s="8">
        <v>40000000</v>
      </c>
      <c r="AX171" s="9">
        <v>2415</v>
      </c>
      <c r="AY171" s="10">
        <f t="shared" si="38"/>
        <v>0</v>
      </c>
      <c r="AZ171" s="10">
        <f t="shared" si="39"/>
        <v>0</v>
      </c>
      <c r="BD171" s="5">
        <v>163</v>
      </c>
      <c r="BE171" s="7" t="s">
        <v>196</v>
      </c>
      <c r="BF171" s="8">
        <v>16068000</v>
      </c>
      <c r="BG171" s="9">
        <v>7050</v>
      </c>
      <c r="BH171" s="10">
        <f t="shared" si="40"/>
        <v>2.0260492040520939E-2</v>
      </c>
      <c r="BI171" s="10">
        <f t="shared" si="41"/>
        <v>2.005797904459871E-2</v>
      </c>
    </row>
    <row r="172" spans="2:61" x14ac:dyDescent="0.4">
      <c r="B172" s="5">
        <v>164</v>
      </c>
      <c r="C172" s="7" t="s">
        <v>197</v>
      </c>
      <c r="D172" s="8">
        <v>24054799</v>
      </c>
      <c r="E172" s="9">
        <v>8950</v>
      </c>
      <c r="F172" s="10">
        <f t="shared" si="28"/>
        <v>5.1703877790834296E-2</v>
      </c>
      <c r="G172" s="10">
        <f t="shared" si="29"/>
        <v>5.041158970148122E-2</v>
      </c>
      <c r="K172" s="5">
        <v>164</v>
      </c>
      <c r="L172" s="7" t="s">
        <v>197</v>
      </c>
      <c r="M172" s="8">
        <v>21929315</v>
      </c>
      <c r="N172" s="9">
        <v>12220</v>
      </c>
      <c r="O172" s="10">
        <f t="shared" si="30"/>
        <v>1.8333333333333313E-2</v>
      </c>
      <c r="P172" s="10">
        <f t="shared" si="31"/>
        <v>1.8167303955448934E-2</v>
      </c>
      <c r="T172" s="5">
        <v>164</v>
      </c>
      <c r="U172" s="7" t="s">
        <v>197</v>
      </c>
      <c r="V172" s="8">
        <v>26014161</v>
      </c>
      <c r="W172" s="9">
        <v>6940</v>
      </c>
      <c r="X172" s="10">
        <f t="shared" si="32"/>
        <v>1.0189228529839944E-2</v>
      </c>
      <c r="Y172" s="10">
        <f t="shared" si="33"/>
        <v>1.0137668284455222E-2</v>
      </c>
      <c r="AC172" s="5">
        <v>164</v>
      </c>
      <c r="AD172" s="7" t="s">
        <v>197</v>
      </c>
      <c r="AE172" s="8">
        <v>35798007</v>
      </c>
      <c r="AF172" s="9">
        <v>38600</v>
      </c>
      <c r="AG172" s="10">
        <f t="shared" si="34"/>
        <v>2.5974025974024872E-3</v>
      </c>
      <c r="AH172" s="10">
        <f t="shared" si="35"/>
        <v>2.5940351770465278E-3</v>
      </c>
      <c r="AL172" s="5">
        <v>164</v>
      </c>
      <c r="AM172" s="7" t="s">
        <v>197</v>
      </c>
      <c r="AN172" s="8">
        <v>58492759</v>
      </c>
      <c r="AO172" s="9">
        <v>123100</v>
      </c>
      <c r="AP172" s="10">
        <f t="shared" si="36"/>
        <v>2.4126455906821942E-2</v>
      </c>
      <c r="AQ172" s="10">
        <f t="shared" si="37"/>
        <v>2.3840011089300599E-2</v>
      </c>
      <c r="AU172" s="5">
        <v>164</v>
      </c>
      <c r="AV172" s="7" t="s">
        <v>197</v>
      </c>
      <c r="AW172" s="8">
        <v>40000000</v>
      </c>
      <c r="AX172" s="9">
        <v>2415</v>
      </c>
      <c r="AY172" s="10">
        <f t="shared" si="38"/>
        <v>1.6842105263157992E-2</v>
      </c>
      <c r="AZ172" s="10">
        <f t="shared" si="39"/>
        <v>1.6701849617931572E-2</v>
      </c>
      <c r="BD172" s="5">
        <v>164</v>
      </c>
      <c r="BE172" s="7" t="s">
        <v>197</v>
      </c>
      <c r="BF172" s="8">
        <v>16068000</v>
      </c>
      <c r="BG172" s="9">
        <v>6910</v>
      </c>
      <c r="BH172" s="10">
        <f t="shared" si="40"/>
        <v>7.2886297376093534E-3</v>
      </c>
      <c r="BI172" s="10">
        <f t="shared" si="41"/>
        <v>7.2621960417846958E-3</v>
      </c>
    </row>
    <row r="173" spans="2:61" x14ac:dyDescent="0.4">
      <c r="B173" s="5">
        <v>165</v>
      </c>
      <c r="C173" s="7" t="s">
        <v>198</v>
      </c>
      <c r="D173" s="8">
        <v>24054799</v>
      </c>
      <c r="E173" s="9">
        <v>8510</v>
      </c>
      <c r="F173" s="10">
        <f t="shared" si="28"/>
        <v>-2.1839080459770122E-2</v>
      </c>
      <c r="G173" s="10">
        <f t="shared" si="29"/>
        <v>-2.2081083075255276E-2</v>
      </c>
      <c r="K173" s="5">
        <v>165</v>
      </c>
      <c r="L173" s="7" t="s">
        <v>198</v>
      </c>
      <c r="M173" s="8">
        <v>21929315</v>
      </c>
      <c r="N173" s="9">
        <v>12000</v>
      </c>
      <c r="O173" s="10">
        <f t="shared" si="30"/>
        <v>3.3444816053511683E-3</v>
      </c>
      <c r="P173" s="10">
        <f t="shared" si="31"/>
        <v>3.3389012655146303E-3</v>
      </c>
      <c r="T173" s="5">
        <v>165</v>
      </c>
      <c r="U173" s="7" t="s">
        <v>198</v>
      </c>
      <c r="V173" s="8">
        <v>26014161</v>
      </c>
      <c r="W173" s="9">
        <v>6870</v>
      </c>
      <c r="X173" s="10">
        <f t="shared" si="32"/>
        <v>-1.2931034482758674E-2</v>
      </c>
      <c r="Y173" s="10">
        <f t="shared" si="33"/>
        <v>-1.3015368112070361E-2</v>
      </c>
      <c r="AC173" s="5">
        <v>165</v>
      </c>
      <c r="AD173" s="7" t="s">
        <v>198</v>
      </c>
      <c r="AE173" s="8">
        <v>35798007</v>
      </c>
      <c r="AF173" s="9">
        <v>38500</v>
      </c>
      <c r="AG173" s="10">
        <f t="shared" si="34"/>
        <v>2.1220159151193574E-2</v>
      </c>
      <c r="AH173" s="10">
        <f t="shared" si="35"/>
        <v>2.0998146839773402E-2</v>
      </c>
      <c r="AL173" s="5">
        <v>165</v>
      </c>
      <c r="AM173" s="7" t="s">
        <v>198</v>
      </c>
      <c r="AN173" s="8">
        <v>58492759</v>
      </c>
      <c r="AO173" s="9">
        <v>120200</v>
      </c>
      <c r="AP173" s="10">
        <f t="shared" si="36"/>
        <v>3.3388981636059967E-3</v>
      </c>
      <c r="AQ173" s="10">
        <f t="shared" si="37"/>
        <v>3.333336419758217E-3</v>
      </c>
      <c r="AU173" s="5">
        <v>165</v>
      </c>
      <c r="AV173" s="7" t="s">
        <v>198</v>
      </c>
      <c r="AW173" s="8">
        <v>40000000</v>
      </c>
      <c r="AX173" s="9">
        <v>2375</v>
      </c>
      <c r="AY173" s="10">
        <f t="shared" si="38"/>
        <v>-8.3507306889353261E-3</v>
      </c>
      <c r="AZ173" s="10">
        <f t="shared" si="39"/>
        <v>-8.38579337627407E-3</v>
      </c>
      <c r="BD173" s="5">
        <v>165</v>
      </c>
      <c r="BE173" s="7" t="s">
        <v>198</v>
      </c>
      <c r="BF173" s="8">
        <v>16068000</v>
      </c>
      <c r="BG173" s="9">
        <v>6860</v>
      </c>
      <c r="BH173" s="10">
        <f t="shared" si="40"/>
        <v>-1.2949640287769792E-2</v>
      </c>
      <c r="BI173" s="10">
        <f t="shared" si="41"/>
        <v>-1.3034217838906915E-2</v>
      </c>
    </row>
    <row r="174" spans="2:61" x14ac:dyDescent="0.4">
      <c r="B174" s="5">
        <v>166</v>
      </c>
      <c r="C174" s="7" t="s">
        <v>199</v>
      </c>
      <c r="D174" s="8">
        <v>24054799</v>
      </c>
      <c r="E174" s="9">
        <v>8700</v>
      </c>
      <c r="F174" s="10">
        <f t="shared" si="28"/>
        <v>4.6189376443417363E-3</v>
      </c>
      <c r="G174" s="10">
        <f t="shared" si="29"/>
        <v>4.6083030861941814E-3</v>
      </c>
      <c r="K174" s="5">
        <v>166</v>
      </c>
      <c r="L174" s="7" t="s">
        <v>199</v>
      </c>
      <c r="M174" s="8">
        <v>21929315</v>
      </c>
      <c r="N174" s="9">
        <v>11960</v>
      </c>
      <c r="O174" s="10">
        <f t="shared" si="30"/>
        <v>5.887300252312766E-3</v>
      </c>
      <c r="P174" s="10">
        <f t="shared" si="31"/>
        <v>5.8700378197951136E-3</v>
      </c>
      <c r="T174" s="5">
        <v>166</v>
      </c>
      <c r="U174" s="7" t="s">
        <v>199</v>
      </c>
      <c r="V174" s="8">
        <v>26014161</v>
      </c>
      <c r="W174" s="9">
        <v>6960</v>
      </c>
      <c r="X174" s="10">
        <f t="shared" si="32"/>
        <v>-1.5558698727015541E-2</v>
      </c>
      <c r="Y174" s="10">
        <f t="shared" si="33"/>
        <v>-1.5681005562153089E-2</v>
      </c>
      <c r="AC174" s="5">
        <v>166</v>
      </c>
      <c r="AD174" s="7" t="s">
        <v>199</v>
      </c>
      <c r="AE174" s="8">
        <v>35798007</v>
      </c>
      <c r="AF174" s="9">
        <v>37700</v>
      </c>
      <c r="AG174" s="10">
        <f t="shared" si="34"/>
        <v>2.6595744680850686E-3</v>
      </c>
      <c r="AH174" s="10">
        <f t="shared" si="35"/>
        <v>2.6560440581162104E-3</v>
      </c>
      <c r="AL174" s="5">
        <v>166</v>
      </c>
      <c r="AM174" s="7" t="s">
        <v>199</v>
      </c>
      <c r="AN174" s="8">
        <v>58492759</v>
      </c>
      <c r="AO174" s="9">
        <v>119800</v>
      </c>
      <c r="AP174" s="10">
        <f t="shared" si="36"/>
        <v>2.0442930153321992E-2</v>
      </c>
      <c r="AQ174" s="10">
        <f t="shared" si="37"/>
        <v>2.0236778287352916E-2</v>
      </c>
      <c r="AU174" s="5">
        <v>166</v>
      </c>
      <c r="AV174" s="7" t="s">
        <v>199</v>
      </c>
      <c r="AW174" s="8">
        <v>40000000</v>
      </c>
      <c r="AX174" s="9">
        <v>2395</v>
      </c>
      <c r="AY174" s="10">
        <f t="shared" si="38"/>
        <v>6.302521008403339E-3</v>
      </c>
      <c r="AZ174" s="10">
        <f t="shared" si="39"/>
        <v>6.282743179495209E-3</v>
      </c>
      <c r="BD174" s="5">
        <v>166</v>
      </c>
      <c r="BE174" s="7" t="s">
        <v>199</v>
      </c>
      <c r="BF174" s="8">
        <v>16068000</v>
      </c>
      <c r="BG174" s="9">
        <v>6950</v>
      </c>
      <c r="BH174" s="10">
        <f t="shared" si="40"/>
        <v>4.3352601156070314E-3</v>
      </c>
      <c r="BI174" s="10">
        <f t="shared" si="41"/>
        <v>4.325889947122661E-3</v>
      </c>
    </row>
    <row r="175" spans="2:61" x14ac:dyDescent="0.4">
      <c r="B175" s="5">
        <v>167</v>
      </c>
      <c r="C175" s="7" t="s">
        <v>200</v>
      </c>
      <c r="D175" s="8">
        <v>24054799</v>
      </c>
      <c r="E175" s="9">
        <v>8660</v>
      </c>
      <c r="F175" s="10">
        <f t="shared" si="28"/>
        <v>-3.4522439585730202E-3</v>
      </c>
      <c r="G175" s="10">
        <f t="shared" si="29"/>
        <v>-3.4582167029568295E-3</v>
      </c>
      <c r="K175" s="5">
        <v>167</v>
      </c>
      <c r="L175" s="7" t="s">
        <v>200</v>
      </c>
      <c r="M175" s="8">
        <v>21929315</v>
      </c>
      <c r="N175" s="9">
        <v>11890</v>
      </c>
      <c r="O175" s="10">
        <f t="shared" si="30"/>
        <v>5.9221658206429773E-3</v>
      </c>
      <c r="P175" s="10">
        <f t="shared" si="31"/>
        <v>5.9046987247383231E-3</v>
      </c>
      <c r="T175" s="5">
        <v>167</v>
      </c>
      <c r="U175" s="7" t="s">
        <v>200</v>
      </c>
      <c r="V175" s="8">
        <v>26014161</v>
      </c>
      <c r="W175" s="9">
        <v>7070</v>
      </c>
      <c r="X175" s="10">
        <f t="shared" si="32"/>
        <v>3.8179148311306976E-2</v>
      </c>
      <c r="Y175" s="10">
        <f t="shared" si="33"/>
        <v>3.7468359747060462E-2</v>
      </c>
      <c r="AC175" s="5">
        <v>167</v>
      </c>
      <c r="AD175" s="7" t="s">
        <v>200</v>
      </c>
      <c r="AE175" s="8">
        <v>35798007</v>
      </c>
      <c r="AF175" s="9">
        <v>37600</v>
      </c>
      <c r="AG175" s="10">
        <f t="shared" si="34"/>
        <v>2.3129251700680253E-2</v>
      </c>
      <c r="AH175" s="10">
        <f t="shared" si="35"/>
        <v>2.2865824737003129E-2</v>
      </c>
      <c r="AL175" s="5">
        <v>167</v>
      </c>
      <c r="AM175" s="7" t="s">
        <v>200</v>
      </c>
      <c r="AN175" s="8">
        <v>58492759</v>
      </c>
      <c r="AO175" s="9">
        <v>117400</v>
      </c>
      <c r="AP175" s="10">
        <f t="shared" si="36"/>
        <v>2.532751091703056E-2</v>
      </c>
      <c r="AQ175" s="10">
        <f t="shared" si="37"/>
        <v>2.5012084399701727E-2</v>
      </c>
      <c r="AU175" s="5">
        <v>167</v>
      </c>
      <c r="AV175" s="7" t="s">
        <v>200</v>
      </c>
      <c r="AW175" s="8">
        <v>40000000</v>
      </c>
      <c r="AX175" s="9">
        <v>2380</v>
      </c>
      <c r="AY175" s="10">
        <f t="shared" si="38"/>
        <v>1.0615711252653925E-2</v>
      </c>
      <c r="AZ175" s="10">
        <f t="shared" si="39"/>
        <v>1.0559760215002253E-2</v>
      </c>
      <c r="BD175" s="5">
        <v>167</v>
      </c>
      <c r="BE175" s="7" t="s">
        <v>200</v>
      </c>
      <c r="BF175" s="8">
        <v>16068000</v>
      </c>
      <c r="BG175" s="9">
        <v>6920</v>
      </c>
      <c r="BH175" s="10">
        <f t="shared" si="40"/>
        <v>2.8985507246377384E-3</v>
      </c>
      <c r="BI175" s="10">
        <f t="shared" si="41"/>
        <v>2.8943580263645565E-3</v>
      </c>
    </row>
    <row r="176" spans="2:61" x14ac:dyDescent="0.4">
      <c r="B176" s="5">
        <v>168</v>
      </c>
      <c r="C176" s="7" t="s">
        <v>201</v>
      </c>
      <c r="D176" s="8">
        <v>24054799</v>
      </c>
      <c r="E176" s="9">
        <v>8690</v>
      </c>
      <c r="F176" s="10">
        <f t="shared" si="28"/>
        <v>0</v>
      </c>
      <c r="G176" s="10">
        <f t="shared" si="29"/>
        <v>0</v>
      </c>
      <c r="K176" s="5">
        <v>168</v>
      </c>
      <c r="L176" s="7" t="s">
        <v>201</v>
      </c>
      <c r="M176" s="8">
        <v>21929315</v>
      </c>
      <c r="N176" s="9">
        <v>11820</v>
      </c>
      <c r="O176" s="10">
        <f t="shared" si="30"/>
        <v>-1.0050251256281451E-2</v>
      </c>
      <c r="P176" s="10">
        <f t="shared" si="31"/>
        <v>-1.0101095986503933E-2</v>
      </c>
      <c r="T176" s="5">
        <v>168</v>
      </c>
      <c r="U176" s="7" t="s">
        <v>201</v>
      </c>
      <c r="V176" s="8">
        <v>26014161</v>
      </c>
      <c r="W176" s="9">
        <v>6810</v>
      </c>
      <c r="X176" s="10">
        <f t="shared" si="32"/>
        <v>1.4705882352941124E-3</v>
      </c>
      <c r="Y176" s="10">
        <f t="shared" si="33"/>
        <v>1.469507979359978E-3</v>
      </c>
      <c r="AC176" s="5">
        <v>168</v>
      </c>
      <c r="AD176" s="7" t="s">
        <v>201</v>
      </c>
      <c r="AE176" s="8">
        <v>35798007</v>
      </c>
      <c r="AF176" s="9">
        <v>36750</v>
      </c>
      <c r="AG176" s="10">
        <f t="shared" si="34"/>
        <v>-2.777777777777779E-2</v>
      </c>
      <c r="AH176" s="10">
        <f t="shared" si="35"/>
        <v>-2.8170876966696335E-2</v>
      </c>
      <c r="AL176" s="5">
        <v>168</v>
      </c>
      <c r="AM176" s="7" t="s">
        <v>201</v>
      </c>
      <c r="AN176" s="8">
        <v>58492759</v>
      </c>
      <c r="AO176" s="9">
        <v>114500</v>
      </c>
      <c r="AP176" s="10">
        <f t="shared" si="36"/>
        <v>-8.7260034904013128E-4</v>
      </c>
      <c r="AQ176" s="10">
        <f t="shared" si="37"/>
        <v>-8.7298128634484226E-4</v>
      </c>
      <c r="AU176" s="5">
        <v>168</v>
      </c>
      <c r="AV176" s="7" t="s">
        <v>201</v>
      </c>
      <c r="AW176" s="8">
        <v>40000000</v>
      </c>
      <c r="AX176" s="9">
        <v>2355</v>
      </c>
      <c r="AY176" s="10">
        <f t="shared" si="38"/>
        <v>1.0729613733905685E-2</v>
      </c>
      <c r="AZ176" s="10">
        <f t="shared" si="39"/>
        <v>1.0672459890771979E-2</v>
      </c>
      <c r="BD176" s="5">
        <v>168</v>
      </c>
      <c r="BE176" s="7" t="s">
        <v>201</v>
      </c>
      <c r="BF176" s="8">
        <v>16068000</v>
      </c>
      <c r="BG176" s="9">
        <v>6900</v>
      </c>
      <c r="BH176" s="10">
        <f t="shared" si="40"/>
        <v>1.3215859030837107E-2</v>
      </c>
      <c r="BI176" s="10">
        <f t="shared" si="41"/>
        <v>1.3129291441792802E-2</v>
      </c>
    </row>
    <row r="177" spans="2:61" x14ac:dyDescent="0.4">
      <c r="B177" s="5">
        <v>169</v>
      </c>
      <c r="C177" s="7" t="s">
        <v>202</v>
      </c>
      <c r="D177" s="8">
        <v>24054799</v>
      </c>
      <c r="E177" s="9">
        <v>8690</v>
      </c>
      <c r="F177" s="10">
        <f t="shared" si="28"/>
        <v>-1.473922902494329E-2</v>
      </c>
      <c r="G177" s="10">
        <f t="shared" si="29"/>
        <v>-1.4848930741399244E-2</v>
      </c>
      <c r="K177" s="5">
        <v>169</v>
      </c>
      <c r="L177" s="7" t="s">
        <v>202</v>
      </c>
      <c r="M177" s="8">
        <v>21929315</v>
      </c>
      <c r="N177" s="9">
        <v>11940</v>
      </c>
      <c r="O177" s="10">
        <f t="shared" si="30"/>
        <v>6.7453625632378778E-3</v>
      </c>
      <c r="P177" s="10">
        <f t="shared" si="31"/>
        <v>6.7227143948767375E-3</v>
      </c>
      <c r="T177" s="5">
        <v>169</v>
      </c>
      <c r="U177" s="7" t="s">
        <v>202</v>
      </c>
      <c r="V177" s="8">
        <v>26014161</v>
      </c>
      <c r="W177" s="9">
        <v>6800</v>
      </c>
      <c r="X177" s="10">
        <f t="shared" si="32"/>
        <v>5.9171597633136397E-3</v>
      </c>
      <c r="Y177" s="10">
        <f t="shared" si="33"/>
        <v>5.899722127188322E-3</v>
      </c>
      <c r="AC177" s="5">
        <v>169</v>
      </c>
      <c r="AD177" s="7" t="s">
        <v>202</v>
      </c>
      <c r="AE177" s="8">
        <v>35798007</v>
      </c>
      <c r="AF177" s="9">
        <v>37800</v>
      </c>
      <c r="AG177" s="10">
        <f t="shared" si="34"/>
        <v>1.3404825737265424E-2</v>
      </c>
      <c r="AH177" s="10">
        <f t="shared" si="35"/>
        <v>1.3315775975772156E-2</v>
      </c>
      <c r="AL177" s="5">
        <v>169</v>
      </c>
      <c r="AM177" s="7" t="s">
        <v>202</v>
      </c>
      <c r="AN177" s="8">
        <v>58492759</v>
      </c>
      <c r="AO177" s="9">
        <v>114600</v>
      </c>
      <c r="AP177" s="10">
        <f t="shared" si="36"/>
        <v>-6.9324090121317683E-3</v>
      </c>
      <c r="AQ177" s="10">
        <f t="shared" si="37"/>
        <v>-6.9565497933600498E-3</v>
      </c>
      <c r="AU177" s="5">
        <v>169</v>
      </c>
      <c r="AV177" s="7" t="s">
        <v>202</v>
      </c>
      <c r="AW177" s="8">
        <v>40000000</v>
      </c>
      <c r="AX177" s="9">
        <v>2330</v>
      </c>
      <c r="AY177" s="10">
        <f t="shared" si="38"/>
        <v>-2.1413276231263545E-3</v>
      </c>
      <c r="AZ177" s="10">
        <f t="shared" si="39"/>
        <v>-2.1436235432514528E-3</v>
      </c>
      <c r="BD177" s="5">
        <v>169</v>
      </c>
      <c r="BE177" s="7" t="s">
        <v>202</v>
      </c>
      <c r="BF177" s="8">
        <v>16068000</v>
      </c>
      <c r="BG177" s="9">
        <v>6810</v>
      </c>
      <c r="BH177" s="10">
        <f t="shared" si="40"/>
        <v>-2.4355300859598805E-2</v>
      </c>
      <c r="BI177" s="10">
        <f t="shared" si="41"/>
        <v>-2.4656796612860056E-2</v>
      </c>
    </row>
    <row r="178" spans="2:61" x14ac:dyDescent="0.4">
      <c r="B178" s="5">
        <v>170</v>
      </c>
      <c r="C178" s="7" t="s">
        <v>203</v>
      </c>
      <c r="D178" s="8">
        <v>24054799</v>
      </c>
      <c r="E178" s="9">
        <v>8820</v>
      </c>
      <c r="F178" s="10">
        <f t="shared" si="28"/>
        <v>-2.9702970297029729E-2</v>
      </c>
      <c r="G178" s="10">
        <f t="shared" si="29"/>
        <v>-3.0153038170687558E-2</v>
      </c>
      <c r="K178" s="5">
        <v>170</v>
      </c>
      <c r="L178" s="7" t="s">
        <v>203</v>
      </c>
      <c r="M178" s="8">
        <v>21929315</v>
      </c>
      <c r="N178" s="9">
        <v>11860</v>
      </c>
      <c r="O178" s="10">
        <f t="shared" si="30"/>
        <v>-9.189640768588192E-3</v>
      </c>
      <c r="P178" s="10">
        <f t="shared" si="31"/>
        <v>-9.2321260003024406E-3</v>
      </c>
      <c r="T178" s="5">
        <v>170</v>
      </c>
      <c r="U178" s="7" t="s">
        <v>203</v>
      </c>
      <c r="V178" s="8">
        <v>26014161</v>
      </c>
      <c r="W178" s="9">
        <v>6760</v>
      </c>
      <c r="X178" s="10">
        <f t="shared" si="32"/>
        <v>-7.342143906020504E-3</v>
      </c>
      <c r="Y178" s="10">
        <f t="shared" si="33"/>
        <v>-7.3692301065482208E-3</v>
      </c>
      <c r="AC178" s="5">
        <v>170</v>
      </c>
      <c r="AD178" s="7" t="s">
        <v>203</v>
      </c>
      <c r="AE178" s="8">
        <v>35798007</v>
      </c>
      <c r="AF178" s="9">
        <v>37300</v>
      </c>
      <c r="AG178" s="10">
        <f t="shared" si="34"/>
        <v>2.3319615912208436E-2</v>
      </c>
      <c r="AH178" s="10">
        <f t="shared" si="35"/>
        <v>2.3051868195102635E-2</v>
      </c>
      <c r="AL178" s="5">
        <v>170</v>
      </c>
      <c r="AM178" s="7" t="s">
        <v>203</v>
      </c>
      <c r="AN178" s="8">
        <v>58492759</v>
      </c>
      <c r="AO178" s="9">
        <v>115400</v>
      </c>
      <c r="AP178" s="10">
        <f t="shared" si="36"/>
        <v>0</v>
      </c>
      <c r="AQ178" s="10">
        <f t="shared" si="37"/>
        <v>0</v>
      </c>
      <c r="AU178" s="5">
        <v>170</v>
      </c>
      <c r="AV178" s="7" t="s">
        <v>203</v>
      </c>
      <c r="AW178" s="8">
        <v>40000000</v>
      </c>
      <c r="AX178" s="9">
        <v>2335</v>
      </c>
      <c r="AY178" s="10">
        <f t="shared" si="38"/>
        <v>-6.382978723404209E-3</v>
      </c>
      <c r="AZ178" s="10">
        <f t="shared" si="39"/>
        <v>-6.4034370352069126E-3</v>
      </c>
      <c r="BD178" s="5">
        <v>170</v>
      </c>
      <c r="BE178" s="7" t="s">
        <v>203</v>
      </c>
      <c r="BF178" s="8">
        <v>16068000</v>
      </c>
      <c r="BG178" s="9">
        <v>6980</v>
      </c>
      <c r="BH178" s="10">
        <f t="shared" si="40"/>
        <v>-2.8571428571428914E-3</v>
      </c>
      <c r="BI178" s="10">
        <f t="shared" si="41"/>
        <v>-2.8612322810322348E-3</v>
      </c>
    </row>
    <row r="179" spans="2:61" x14ac:dyDescent="0.4">
      <c r="B179" s="5">
        <v>171</v>
      </c>
      <c r="C179" s="7" t="s">
        <v>204</v>
      </c>
      <c r="D179" s="8">
        <v>24054799</v>
      </c>
      <c r="E179" s="9">
        <v>9090</v>
      </c>
      <c r="F179" s="10">
        <f t="shared" si="28"/>
        <v>1.1013215859030367E-3</v>
      </c>
      <c r="G179" s="10">
        <f t="shared" si="29"/>
        <v>1.1007155761854929E-3</v>
      </c>
      <c r="K179" s="5">
        <v>171</v>
      </c>
      <c r="L179" s="7" t="s">
        <v>204</v>
      </c>
      <c r="M179" s="8">
        <v>21929315</v>
      </c>
      <c r="N179" s="9">
        <v>11970</v>
      </c>
      <c r="O179" s="10">
        <f t="shared" si="30"/>
        <v>-2.4999999999999467E-3</v>
      </c>
      <c r="P179" s="10">
        <f t="shared" si="31"/>
        <v>-2.503130218118477E-3</v>
      </c>
      <c r="T179" s="5">
        <v>171</v>
      </c>
      <c r="U179" s="7" t="s">
        <v>204</v>
      </c>
      <c r="V179" s="8">
        <v>26014161</v>
      </c>
      <c r="W179" s="9">
        <v>6810</v>
      </c>
      <c r="X179" s="10">
        <f t="shared" si="32"/>
        <v>1.3392857142857206E-2</v>
      </c>
      <c r="Y179" s="10">
        <f t="shared" si="33"/>
        <v>1.3303965626362886E-2</v>
      </c>
      <c r="AC179" s="5">
        <v>171</v>
      </c>
      <c r="AD179" s="7" t="s">
        <v>204</v>
      </c>
      <c r="AE179" s="8">
        <v>35798007</v>
      </c>
      <c r="AF179" s="9">
        <v>36450</v>
      </c>
      <c r="AG179" s="10">
        <f t="shared" si="34"/>
        <v>-2.7359781121750748E-3</v>
      </c>
      <c r="AH179" s="10">
        <f t="shared" si="35"/>
        <v>-2.7397277411203274E-3</v>
      </c>
      <c r="AL179" s="5">
        <v>171</v>
      </c>
      <c r="AM179" s="7" t="s">
        <v>204</v>
      </c>
      <c r="AN179" s="8">
        <v>58492759</v>
      </c>
      <c r="AO179" s="9">
        <v>115400</v>
      </c>
      <c r="AP179" s="10">
        <f t="shared" si="36"/>
        <v>-2.5929127052722878E-3</v>
      </c>
      <c r="AQ179" s="10">
        <f t="shared" si="37"/>
        <v>-2.5962801256317353E-3</v>
      </c>
      <c r="AU179" s="5">
        <v>171</v>
      </c>
      <c r="AV179" s="7" t="s">
        <v>204</v>
      </c>
      <c r="AW179" s="8">
        <v>40000000</v>
      </c>
      <c r="AX179" s="9">
        <v>2350</v>
      </c>
      <c r="AY179" s="10">
        <f t="shared" si="38"/>
        <v>2.132196162046851E-3</v>
      </c>
      <c r="AZ179" s="10">
        <f t="shared" si="39"/>
        <v>2.129926257824849E-3</v>
      </c>
      <c r="BD179" s="5">
        <v>171</v>
      </c>
      <c r="BE179" s="7" t="s">
        <v>204</v>
      </c>
      <c r="BF179" s="8">
        <v>16068000</v>
      </c>
      <c r="BG179" s="9">
        <v>7000</v>
      </c>
      <c r="BH179" s="10">
        <f t="shared" si="40"/>
        <v>0</v>
      </c>
      <c r="BI179" s="10">
        <f t="shared" si="41"/>
        <v>0</v>
      </c>
    </row>
    <row r="180" spans="2:61" x14ac:dyDescent="0.4">
      <c r="B180" s="5">
        <v>172</v>
      </c>
      <c r="C180" s="7" t="s">
        <v>205</v>
      </c>
      <c r="D180" s="8">
        <v>24054799</v>
      </c>
      <c r="E180" s="9">
        <v>9080</v>
      </c>
      <c r="F180" s="10">
        <f t="shared" si="28"/>
        <v>4.1284403669724856E-2</v>
      </c>
      <c r="G180" s="10">
        <f t="shared" si="29"/>
        <v>4.0454954692313749E-2</v>
      </c>
      <c r="K180" s="5">
        <v>172</v>
      </c>
      <c r="L180" s="7" t="s">
        <v>205</v>
      </c>
      <c r="M180" s="8">
        <v>21929315</v>
      </c>
      <c r="N180" s="9">
        <v>12000</v>
      </c>
      <c r="O180" s="10">
        <f t="shared" si="30"/>
        <v>2.4765157984628416E-2</v>
      </c>
      <c r="P180" s="10">
        <f t="shared" si="31"/>
        <v>2.4463472178374232E-2</v>
      </c>
      <c r="T180" s="5">
        <v>172</v>
      </c>
      <c r="U180" s="7" t="s">
        <v>205</v>
      </c>
      <c r="V180" s="8">
        <v>26014161</v>
      </c>
      <c r="W180" s="9">
        <v>6720</v>
      </c>
      <c r="X180" s="10">
        <f t="shared" si="32"/>
        <v>1.2048192771084265E-2</v>
      </c>
      <c r="Y180" s="10">
        <f t="shared" si="33"/>
        <v>1.197619104671562E-2</v>
      </c>
      <c r="AC180" s="5">
        <v>172</v>
      </c>
      <c r="AD180" s="7" t="s">
        <v>205</v>
      </c>
      <c r="AE180" s="8">
        <v>35798007</v>
      </c>
      <c r="AF180" s="9">
        <v>36550</v>
      </c>
      <c r="AG180" s="10">
        <f t="shared" si="34"/>
        <v>5.9420289855072417E-2</v>
      </c>
      <c r="AH180" s="10">
        <f t="shared" si="35"/>
        <v>5.7721862158473393E-2</v>
      </c>
      <c r="AL180" s="5">
        <v>172</v>
      </c>
      <c r="AM180" s="7" t="s">
        <v>205</v>
      </c>
      <c r="AN180" s="8">
        <v>58492759</v>
      </c>
      <c r="AO180" s="9">
        <v>115700</v>
      </c>
      <c r="AP180" s="10">
        <f t="shared" si="36"/>
        <v>3.7668161434977643E-2</v>
      </c>
      <c r="AQ180" s="10">
        <f t="shared" si="37"/>
        <v>3.6976043299457501E-2</v>
      </c>
      <c r="AU180" s="5">
        <v>172</v>
      </c>
      <c r="AV180" s="7" t="s">
        <v>205</v>
      </c>
      <c r="AW180" s="8">
        <v>40000000</v>
      </c>
      <c r="AX180" s="9">
        <v>2345</v>
      </c>
      <c r="AY180" s="10">
        <f t="shared" si="38"/>
        <v>2.4017467248908186E-2</v>
      </c>
      <c r="AZ180" s="10">
        <f t="shared" si="39"/>
        <v>2.3733584332094299E-2</v>
      </c>
      <c r="BD180" s="5">
        <v>172</v>
      </c>
      <c r="BE180" s="7" t="s">
        <v>205</v>
      </c>
      <c r="BF180" s="8">
        <v>16068000</v>
      </c>
      <c r="BG180" s="9">
        <v>7000</v>
      </c>
      <c r="BH180" s="10">
        <f t="shared" si="40"/>
        <v>2.4890190336749551E-2</v>
      </c>
      <c r="BI180" s="10">
        <f t="shared" si="41"/>
        <v>2.458547547261453E-2</v>
      </c>
    </row>
    <row r="181" spans="2:61" x14ac:dyDescent="0.4">
      <c r="B181" s="5">
        <v>173</v>
      </c>
      <c r="C181" s="7" t="s">
        <v>206</v>
      </c>
      <c r="D181" s="8">
        <v>24054799</v>
      </c>
      <c r="E181" s="9">
        <v>8720</v>
      </c>
      <c r="F181" s="10">
        <f t="shared" si="28"/>
        <v>-3.7527593818984517E-2</v>
      </c>
      <c r="G181" s="10">
        <f t="shared" si="29"/>
        <v>-3.8249882133999671E-2</v>
      </c>
      <c r="K181" s="5">
        <v>173</v>
      </c>
      <c r="L181" s="7" t="s">
        <v>206</v>
      </c>
      <c r="M181" s="8">
        <v>21929315</v>
      </c>
      <c r="N181" s="9">
        <v>11710</v>
      </c>
      <c r="O181" s="10">
        <f t="shared" si="30"/>
        <v>-1.4309764309764272E-2</v>
      </c>
      <c r="P181" s="10">
        <f t="shared" si="31"/>
        <v>-1.4413136324872858E-2</v>
      </c>
      <c r="T181" s="5">
        <v>173</v>
      </c>
      <c r="U181" s="7" t="s">
        <v>206</v>
      </c>
      <c r="V181" s="8">
        <v>26014161</v>
      </c>
      <c r="W181" s="9">
        <v>6640</v>
      </c>
      <c r="X181" s="10">
        <f t="shared" si="32"/>
        <v>9.1185410334346795E-3</v>
      </c>
      <c r="Y181" s="10">
        <f t="shared" si="33"/>
        <v>9.0772181511166797E-3</v>
      </c>
      <c r="AC181" s="5">
        <v>173</v>
      </c>
      <c r="AD181" s="7" t="s">
        <v>206</v>
      </c>
      <c r="AE181" s="8">
        <v>35798007</v>
      </c>
      <c r="AF181" s="9">
        <v>34500</v>
      </c>
      <c r="AG181" s="10">
        <f t="shared" si="34"/>
        <v>5.504587155963292E-2</v>
      </c>
      <c r="AH181" s="10">
        <f t="shared" si="35"/>
        <v>5.3584246134106263E-2</v>
      </c>
      <c r="AL181" s="5">
        <v>173</v>
      </c>
      <c r="AM181" s="7" t="s">
        <v>206</v>
      </c>
      <c r="AN181" s="8">
        <v>58492759</v>
      </c>
      <c r="AO181" s="9">
        <v>111500</v>
      </c>
      <c r="AP181" s="10">
        <f t="shared" si="36"/>
        <v>1.4558689717925288E-2</v>
      </c>
      <c r="AQ181" s="10">
        <f t="shared" si="37"/>
        <v>1.4453729490597674E-2</v>
      </c>
      <c r="AU181" s="5">
        <v>173</v>
      </c>
      <c r="AV181" s="7" t="s">
        <v>206</v>
      </c>
      <c r="AW181" s="8">
        <v>40000000</v>
      </c>
      <c r="AX181" s="9">
        <v>2290</v>
      </c>
      <c r="AY181" s="10">
        <f t="shared" si="38"/>
        <v>-1.0799136069114423E-2</v>
      </c>
      <c r="AZ181" s="10">
        <f t="shared" si="39"/>
        <v>-1.0857869972049069E-2</v>
      </c>
      <c r="BD181" s="5">
        <v>173</v>
      </c>
      <c r="BE181" s="7" t="s">
        <v>206</v>
      </c>
      <c r="BF181" s="8">
        <v>16068000</v>
      </c>
      <c r="BG181" s="9">
        <v>6830</v>
      </c>
      <c r="BH181" s="10">
        <f t="shared" si="40"/>
        <v>-8.7082728592162706E-3</v>
      </c>
      <c r="BI181" s="10">
        <f t="shared" si="41"/>
        <v>-8.7464114428685222E-3</v>
      </c>
    </row>
    <row r="182" spans="2:61" x14ac:dyDescent="0.4">
      <c r="B182" s="5">
        <v>174</v>
      </c>
      <c r="C182" s="7" t="s">
        <v>207</v>
      </c>
      <c r="D182" s="8">
        <v>24054799</v>
      </c>
      <c r="E182" s="9">
        <v>9060</v>
      </c>
      <c r="F182" s="10">
        <f t="shared" si="28"/>
        <v>3.4246575342465668E-2</v>
      </c>
      <c r="G182" s="10">
        <f t="shared" si="29"/>
        <v>3.3673215106587807E-2</v>
      </c>
      <c r="K182" s="5">
        <v>174</v>
      </c>
      <c r="L182" s="7" t="s">
        <v>207</v>
      </c>
      <c r="M182" s="8">
        <v>21929315</v>
      </c>
      <c r="N182" s="9">
        <v>11880</v>
      </c>
      <c r="O182" s="10">
        <f t="shared" si="30"/>
        <v>-8.41042893187538E-4</v>
      </c>
      <c r="P182" s="10">
        <f t="shared" si="31"/>
        <v>-8.4139676819157936E-4</v>
      </c>
      <c r="T182" s="5">
        <v>174</v>
      </c>
      <c r="U182" s="7" t="s">
        <v>207</v>
      </c>
      <c r="V182" s="8">
        <v>26014161</v>
      </c>
      <c r="W182" s="9">
        <v>6580</v>
      </c>
      <c r="X182" s="10">
        <f t="shared" si="32"/>
        <v>1.5432098765432167E-2</v>
      </c>
      <c r="Y182" s="10">
        <f t="shared" si="33"/>
        <v>1.5314234973042575E-2</v>
      </c>
      <c r="AC182" s="5">
        <v>174</v>
      </c>
      <c r="AD182" s="7" t="s">
        <v>207</v>
      </c>
      <c r="AE182" s="8">
        <v>35798007</v>
      </c>
      <c r="AF182" s="9">
        <v>32700</v>
      </c>
      <c r="AG182" s="10">
        <f t="shared" si="34"/>
        <v>-1.5267175572518665E-3</v>
      </c>
      <c r="AH182" s="10">
        <f t="shared" si="35"/>
        <v>-1.5278841780531757E-3</v>
      </c>
      <c r="AL182" s="5">
        <v>174</v>
      </c>
      <c r="AM182" s="7" t="s">
        <v>207</v>
      </c>
      <c r="AN182" s="8">
        <v>58492759</v>
      </c>
      <c r="AO182" s="9">
        <v>109900</v>
      </c>
      <c r="AP182" s="10">
        <f t="shared" si="36"/>
        <v>-9.0909090909085943E-4</v>
      </c>
      <c r="AQ182" s="10">
        <f t="shared" si="37"/>
        <v>-9.0950438284049986E-4</v>
      </c>
      <c r="AU182" s="5">
        <v>174</v>
      </c>
      <c r="AV182" s="7" t="s">
        <v>207</v>
      </c>
      <c r="AW182" s="8">
        <v>40000000</v>
      </c>
      <c r="AX182" s="9">
        <v>2315</v>
      </c>
      <c r="AY182" s="10">
        <f t="shared" si="38"/>
        <v>6.521739130434856E-3</v>
      </c>
      <c r="AZ182" s="10">
        <f t="shared" si="39"/>
        <v>6.5005646030934627E-3</v>
      </c>
      <c r="BD182" s="5">
        <v>174</v>
      </c>
      <c r="BE182" s="7" t="s">
        <v>207</v>
      </c>
      <c r="BF182" s="8">
        <v>16068000</v>
      </c>
      <c r="BG182" s="9">
        <v>6890</v>
      </c>
      <c r="BH182" s="10">
        <f t="shared" si="40"/>
        <v>1.3235294117647012E-2</v>
      </c>
      <c r="BI182" s="10">
        <f t="shared" si="41"/>
        <v>1.3148472843506141E-2</v>
      </c>
    </row>
    <row r="183" spans="2:61" x14ac:dyDescent="0.4">
      <c r="B183" s="5">
        <v>175</v>
      </c>
      <c r="C183" s="7" t="s">
        <v>208</v>
      </c>
      <c r="D183" s="8">
        <v>24054799</v>
      </c>
      <c r="E183" s="9">
        <v>8760</v>
      </c>
      <c r="F183" s="10">
        <f t="shared" si="28"/>
        <v>-2.277904328018221E-3</v>
      </c>
      <c r="G183" s="10">
        <f t="shared" si="29"/>
        <v>-2.2805026987252177E-3</v>
      </c>
      <c r="K183" s="5">
        <v>175</v>
      </c>
      <c r="L183" s="7" t="s">
        <v>208</v>
      </c>
      <c r="M183" s="8">
        <v>21929315</v>
      </c>
      <c r="N183" s="9">
        <v>11890</v>
      </c>
      <c r="O183" s="10">
        <f t="shared" si="30"/>
        <v>2.5295109612142319E-3</v>
      </c>
      <c r="P183" s="10">
        <f t="shared" si="31"/>
        <v>2.5263171331111355E-3</v>
      </c>
      <c r="T183" s="5">
        <v>175</v>
      </c>
      <c r="U183" s="7" t="s">
        <v>208</v>
      </c>
      <c r="V183" s="8">
        <v>26014161</v>
      </c>
      <c r="W183" s="9">
        <v>6480</v>
      </c>
      <c r="X183" s="10">
        <f t="shared" si="32"/>
        <v>3.6799999999999944E-2</v>
      </c>
      <c r="Y183" s="10">
        <f t="shared" si="33"/>
        <v>3.6139046615873138E-2</v>
      </c>
      <c r="AC183" s="5">
        <v>175</v>
      </c>
      <c r="AD183" s="7" t="s">
        <v>208</v>
      </c>
      <c r="AE183" s="8">
        <v>35798007</v>
      </c>
      <c r="AF183" s="9">
        <v>32750</v>
      </c>
      <c r="AG183" s="10">
        <f t="shared" si="34"/>
        <v>1.5290519877675379E-3</v>
      </c>
      <c r="AH183" s="10">
        <f t="shared" si="35"/>
        <v>1.5278841780531714E-3</v>
      </c>
      <c r="AL183" s="5">
        <v>175</v>
      </c>
      <c r="AM183" s="7" t="s">
        <v>208</v>
      </c>
      <c r="AN183" s="8">
        <v>58492759</v>
      </c>
      <c r="AO183" s="9">
        <v>110000</v>
      </c>
      <c r="AP183" s="10">
        <f t="shared" si="36"/>
        <v>1.1959521619135272E-2</v>
      </c>
      <c r="AQ183" s="10">
        <f t="shared" si="37"/>
        <v>1.1888571665252505E-2</v>
      </c>
      <c r="AU183" s="5">
        <v>175</v>
      </c>
      <c r="AV183" s="7" t="s">
        <v>208</v>
      </c>
      <c r="AW183" s="8">
        <v>40000000</v>
      </c>
      <c r="AX183" s="9">
        <v>2300</v>
      </c>
      <c r="AY183" s="10">
        <f t="shared" si="38"/>
        <v>2.1786492374726851E-3</v>
      </c>
      <c r="AZ183" s="10">
        <f t="shared" si="39"/>
        <v>2.1762794225954484E-3</v>
      </c>
      <c r="BD183" s="5">
        <v>175</v>
      </c>
      <c r="BE183" s="7" t="s">
        <v>208</v>
      </c>
      <c r="BF183" s="8">
        <v>16068000</v>
      </c>
      <c r="BG183" s="9">
        <v>6800</v>
      </c>
      <c r="BH183" s="10">
        <f t="shared" si="40"/>
        <v>1.6442451420029869E-2</v>
      </c>
      <c r="BI183" s="10">
        <f t="shared" si="41"/>
        <v>1.6308738041923908E-2</v>
      </c>
    </row>
    <row r="184" spans="2:61" x14ac:dyDescent="0.4">
      <c r="B184" s="5">
        <v>176</v>
      </c>
      <c r="C184" s="7" t="s">
        <v>209</v>
      </c>
      <c r="D184" s="8">
        <v>24054799</v>
      </c>
      <c r="E184" s="9">
        <v>8780</v>
      </c>
      <c r="F184" s="10">
        <f t="shared" si="28"/>
        <v>-1.237345331833517E-2</v>
      </c>
      <c r="G184" s="10">
        <f t="shared" si="29"/>
        <v>-1.2450641878787881E-2</v>
      </c>
      <c r="K184" s="5">
        <v>176</v>
      </c>
      <c r="L184" s="7" t="s">
        <v>209</v>
      </c>
      <c r="M184" s="8">
        <v>21929315</v>
      </c>
      <c r="N184" s="9">
        <v>11860</v>
      </c>
      <c r="O184" s="10">
        <f t="shared" si="30"/>
        <v>-1.6583747927031545E-2</v>
      </c>
      <c r="P184" s="10">
        <f t="shared" si="31"/>
        <v>-1.6722797729460025E-2</v>
      </c>
      <c r="T184" s="5">
        <v>176</v>
      </c>
      <c r="U184" s="7" t="s">
        <v>209</v>
      </c>
      <c r="V184" s="8">
        <v>26014161</v>
      </c>
      <c r="W184" s="9">
        <v>6250</v>
      </c>
      <c r="X184" s="10">
        <f t="shared" si="32"/>
        <v>1.9575856443719397E-2</v>
      </c>
      <c r="Y184" s="10">
        <f t="shared" si="33"/>
        <v>1.9386713800190084E-2</v>
      </c>
      <c r="AC184" s="5">
        <v>176</v>
      </c>
      <c r="AD184" s="7" t="s">
        <v>209</v>
      </c>
      <c r="AE184" s="8">
        <v>35798007</v>
      </c>
      <c r="AF184" s="9">
        <v>32700</v>
      </c>
      <c r="AG184" s="10">
        <f t="shared" si="34"/>
        <v>3.0674846625766694E-3</v>
      </c>
      <c r="AH184" s="10">
        <f t="shared" si="35"/>
        <v>3.0627895305457308E-3</v>
      </c>
      <c r="AL184" s="5">
        <v>176</v>
      </c>
      <c r="AM184" s="7" t="s">
        <v>209</v>
      </c>
      <c r="AN184" s="8">
        <v>58492759</v>
      </c>
      <c r="AO184" s="9">
        <v>108700</v>
      </c>
      <c r="AP184" s="10">
        <f t="shared" si="36"/>
        <v>9.2081031307555961E-4</v>
      </c>
      <c r="AQ184" s="10">
        <f t="shared" si="37"/>
        <v>9.2038662732874855E-4</v>
      </c>
      <c r="AU184" s="5">
        <v>176</v>
      </c>
      <c r="AV184" s="7" t="s">
        <v>209</v>
      </c>
      <c r="AW184" s="8">
        <v>40000000</v>
      </c>
      <c r="AX184" s="9">
        <v>2295</v>
      </c>
      <c r="AY184" s="10">
        <f t="shared" si="38"/>
        <v>2.4553571428571397E-2</v>
      </c>
      <c r="AZ184" s="10">
        <f t="shared" si="39"/>
        <v>2.4256977645559962E-2</v>
      </c>
      <c r="BD184" s="5">
        <v>176</v>
      </c>
      <c r="BE184" s="7" t="s">
        <v>209</v>
      </c>
      <c r="BF184" s="8">
        <v>16068000</v>
      </c>
      <c r="BG184" s="9">
        <v>6690</v>
      </c>
      <c r="BH184" s="10">
        <f t="shared" si="40"/>
        <v>3.8819875776397561E-2</v>
      </c>
      <c r="BI184" s="10">
        <f t="shared" si="41"/>
        <v>3.808533402387488E-2</v>
      </c>
    </row>
    <row r="185" spans="2:61" x14ac:dyDescent="0.4">
      <c r="B185" s="5">
        <v>177</v>
      </c>
      <c r="C185" s="7" t="s">
        <v>210</v>
      </c>
      <c r="D185" s="8">
        <v>24054799</v>
      </c>
      <c r="E185" s="9">
        <v>8890</v>
      </c>
      <c r="F185" s="10">
        <f t="shared" si="28"/>
        <v>9.0797546012269859E-2</v>
      </c>
      <c r="G185" s="10">
        <f t="shared" si="29"/>
        <v>8.6909122273041803E-2</v>
      </c>
      <c r="K185" s="5">
        <v>177</v>
      </c>
      <c r="L185" s="7" t="s">
        <v>210</v>
      </c>
      <c r="M185" s="8">
        <v>21929315</v>
      </c>
      <c r="N185" s="9">
        <v>12060</v>
      </c>
      <c r="O185" s="10">
        <f t="shared" si="30"/>
        <v>0.12710280373831773</v>
      </c>
      <c r="P185" s="10">
        <f t="shared" si="31"/>
        <v>0.11965044983117887</v>
      </c>
      <c r="T185" s="5">
        <v>177</v>
      </c>
      <c r="U185" s="7" t="s">
        <v>210</v>
      </c>
      <c r="V185" s="8">
        <v>26014161</v>
      </c>
      <c r="W185" s="9">
        <v>6130</v>
      </c>
      <c r="X185" s="10">
        <f t="shared" si="32"/>
        <v>6.423611111111116E-2</v>
      </c>
      <c r="Y185" s="10">
        <f t="shared" si="33"/>
        <v>6.2257275240320209E-2</v>
      </c>
      <c r="AC185" s="5">
        <v>177</v>
      </c>
      <c r="AD185" s="7" t="s">
        <v>210</v>
      </c>
      <c r="AE185" s="8">
        <v>35798007</v>
      </c>
      <c r="AF185" s="9">
        <v>32600</v>
      </c>
      <c r="AG185" s="10">
        <f t="shared" si="34"/>
        <v>8.3056478405315604E-2</v>
      </c>
      <c r="AH185" s="10">
        <f t="shared" si="35"/>
        <v>7.9787116617831902E-2</v>
      </c>
      <c r="AL185" s="5">
        <v>177</v>
      </c>
      <c r="AM185" s="7" t="s">
        <v>210</v>
      </c>
      <c r="AN185" s="8">
        <v>58492759</v>
      </c>
      <c r="AO185" s="9">
        <v>108600</v>
      </c>
      <c r="AP185" s="10">
        <f t="shared" si="36"/>
        <v>7.3122529644268797E-2</v>
      </c>
      <c r="AQ185" s="10">
        <f t="shared" si="37"/>
        <v>7.057265064646992E-2</v>
      </c>
      <c r="AU185" s="5">
        <v>177</v>
      </c>
      <c r="AV185" s="7" t="s">
        <v>210</v>
      </c>
      <c r="AW185" s="8">
        <v>40000000</v>
      </c>
      <c r="AX185" s="9">
        <v>2240</v>
      </c>
      <c r="AY185" s="10">
        <f t="shared" si="38"/>
        <v>4.4289044289044233E-2</v>
      </c>
      <c r="AZ185" s="10">
        <f t="shared" si="39"/>
        <v>4.3336313486968134E-2</v>
      </c>
      <c r="BD185" s="5">
        <v>177</v>
      </c>
      <c r="BE185" s="7" t="s">
        <v>210</v>
      </c>
      <c r="BF185" s="8">
        <v>16068000</v>
      </c>
      <c r="BG185" s="9">
        <v>6440</v>
      </c>
      <c r="BH185" s="10">
        <f t="shared" si="40"/>
        <v>5.7471264367816133E-2</v>
      </c>
      <c r="BI185" s="10">
        <f t="shared" si="41"/>
        <v>5.5880458394456628E-2</v>
      </c>
    </row>
    <row r="186" spans="2:61" x14ac:dyDescent="0.4">
      <c r="B186" s="5">
        <v>178</v>
      </c>
      <c r="C186" s="7" t="s">
        <v>211</v>
      </c>
      <c r="D186" s="8">
        <v>24054799</v>
      </c>
      <c r="E186" s="9">
        <v>8150</v>
      </c>
      <c r="F186" s="10">
        <f t="shared" si="28"/>
        <v>-5.2325581395348819E-2</v>
      </c>
      <c r="G186" s="10">
        <f t="shared" si="29"/>
        <v>-5.374427600669069E-2</v>
      </c>
      <c r="K186" s="5">
        <v>178</v>
      </c>
      <c r="L186" s="7" t="s">
        <v>211</v>
      </c>
      <c r="M186" s="8">
        <v>21929315</v>
      </c>
      <c r="N186" s="9">
        <v>10700</v>
      </c>
      <c r="O186" s="10">
        <f t="shared" si="30"/>
        <v>-3.6036036036036001E-2</v>
      </c>
      <c r="P186" s="10">
        <f t="shared" si="31"/>
        <v>-3.6701366850427929E-2</v>
      </c>
      <c r="T186" s="5">
        <v>178</v>
      </c>
      <c r="U186" s="7" t="s">
        <v>211</v>
      </c>
      <c r="V186" s="8">
        <v>26014161</v>
      </c>
      <c r="W186" s="9">
        <v>5760</v>
      </c>
      <c r="X186" s="10">
        <f t="shared" si="32"/>
        <v>-3.6789297658862852E-2</v>
      </c>
      <c r="Y186" s="10">
        <f t="shared" si="33"/>
        <v>-3.7483093254740474E-2</v>
      </c>
      <c r="AC186" s="5">
        <v>178</v>
      </c>
      <c r="AD186" s="7" t="s">
        <v>211</v>
      </c>
      <c r="AE186" s="8">
        <v>35798007</v>
      </c>
      <c r="AF186" s="9">
        <v>30100</v>
      </c>
      <c r="AG186" s="10">
        <f t="shared" si="34"/>
        <v>-4.1401273885350309E-2</v>
      </c>
      <c r="AH186" s="10">
        <f t="shared" si="35"/>
        <v>-4.2282721159377631E-2</v>
      </c>
      <c r="AL186" s="5">
        <v>178</v>
      </c>
      <c r="AM186" s="7" t="s">
        <v>211</v>
      </c>
      <c r="AN186" s="8">
        <v>58492759</v>
      </c>
      <c r="AO186" s="9">
        <v>101200</v>
      </c>
      <c r="AP186" s="10">
        <f t="shared" si="36"/>
        <v>-2.785782901056677E-2</v>
      </c>
      <c r="AQ186" s="10">
        <f t="shared" si="37"/>
        <v>-2.8253218767558038E-2</v>
      </c>
      <c r="AU186" s="5">
        <v>178</v>
      </c>
      <c r="AV186" s="7" t="s">
        <v>211</v>
      </c>
      <c r="AW186" s="8">
        <v>40000000</v>
      </c>
      <c r="AX186" s="9">
        <v>2145</v>
      </c>
      <c r="AY186" s="10">
        <f t="shared" si="38"/>
        <v>-4.6666666666666634E-2</v>
      </c>
      <c r="AZ186" s="10">
        <f t="shared" si="39"/>
        <v>-4.7790663836348439E-2</v>
      </c>
      <c r="BD186" s="5">
        <v>178</v>
      </c>
      <c r="BE186" s="7" t="s">
        <v>211</v>
      </c>
      <c r="BF186" s="8">
        <v>16068000</v>
      </c>
      <c r="BG186" s="9">
        <v>6090</v>
      </c>
      <c r="BH186" s="10">
        <f t="shared" si="40"/>
        <v>-4.5454545454545414E-2</v>
      </c>
      <c r="BI186" s="10">
        <f t="shared" si="41"/>
        <v>-4.6520015634892817E-2</v>
      </c>
    </row>
    <row r="187" spans="2:61" x14ac:dyDescent="0.4">
      <c r="B187" s="5">
        <v>179</v>
      </c>
      <c r="C187" s="7" t="s">
        <v>212</v>
      </c>
      <c r="D187" s="8">
        <v>24054799</v>
      </c>
      <c r="E187" s="9">
        <v>8600</v>
      </c>
      <c r="F187" s="10">
        <f t="shared" si="28"/>
        <v>-1.9384264538198415E-2</v>
      </c>
      <c r="G187" s="10">
        <f t="shared" si="29"/>
        <v>-1.9574603124629636E-2</v>
      </c>
      <c r="K187" s="5">
        <v>179</v>
      </c>
      <c r="L187" s="7" t="s">
        <v>212</v>
      </c>
      <c r="M187" s="8">
        <v>21929315</v>
      </c>
      <c r="N187" s="9">
        <v>11100</v>
      </c>
      <c r="O187" s="10">
        <f t="shared" si="30"/>
        <v>-2.6315789473684181E-2</v>
      </c>
      <c r="P187" s="10">
        <f t="shared" si="31"/>
        <v>-2.6668247082161294E-2</v>
      </c>
      <c r="T187" s="5">
        <v>179</v>
      </c>
      <c r="U187" s="7" t="s">
        <v>212</v>
      </c>
      <c r="V187" s="8">
        <v>26014161</v>
      </c>
      <c r="W187" s="9">
        <v>5980</v>
      </c>
      <c r="X187" s="10">
        <f t="shared" si="32"/>
        <v>1.6750418760469454E-3</v>
      </c>
      <c r="Y187" s="10">
        <f t="shared" si="33"/>
        <v>1.6736405580296937E-3</v>
      </c>
      <c r="AC187" s="5">
        <v>179</v>
      </c>
      <c r="AD187" s="7" t="s">
        <v>212</v>
      </c>
      <c r="AE187" s="8">
        <v>35798007</v>
      </c>
      <c r="AF187" s="9">
        <v>31400</v>
      </c>
      <c r="AG187" s="10">
        <f t="shared" si="34"/>
        <v>1.2903225806451646E-2</v>
      </c>
      <c r="AH187" s="10">
        <f t="shared" si="35"/>
        <v>1.2820688429061469E-2</v>
      </c>
      <c r="AL187" s="5">
        <v>179</v>
      </c>
      <c r="AM187" s="7" t="s">
        <v>212</v>
      </c>
      <c r="AN187" s="8">
        <v>58492759</v>
      </c>
      <c r="AO187" s="9">
        <v>104100</v>
      </c>
      <c r="AP187" s="10">
        <f t="shared" si="36"/>
        <v>9.6153846153845812E-4</v>
      </c>
      <c r="AQ187" s="10">
        <f t="shared" si="37"/>
        <v>9.6107647955053204E-4</v>
      </c>
      <c r="AU187" s="5">
        <v>179</v>
      </c>
      <c r="AV187" s="7" t="s">
        <v>212</v>
      </c>
      <c r="AW187" s="8">
        <v>40000000</v>
      </c>
      <c r="AX187" s="9">
        <v>2250</v>
      </c>
      <c r="AY187" s="10">
        <f t="shared" si="38"/>
        <v>2.0408163265306145E-2</v>
      </c>
      <c r="AZ187" s="10">
        <f t="shared" si="39"/>
        <v>2.0202707317519469E-2</v>
      </c>
      <c r="BD187" s="5">
        <v>179</v>
      </c>
      <c r="BE187" s="7" t="s">
        <v>212</v>
      </c>
      <c r="BF187" s="8">
        <v>16068000</v>
      </c>
      <c r="BG187" s="9">
        <v>6380</v>
      </c>
      <c r="BH187" s="10">
        <f t="shared" si="40"/>
        <v>-4.6801872074883066E-3</v>
      </c>
      <c r="BI187" s="10">
        <f t="shared" si="41"/>
        <v>-4.6911735758801663E-3</v>
      </c>
    </row>
    <row r="188" spans="2:61" x14ac:dyDescent="0.4">
      <c r="B188" s="5">
        <v>180</v>
      </c>
      <c r="C188" s="7" t="s">
        <v>213</v>
      </c>
      <c r="D188" s="8">
        <v>24054799</v>
      </c>
      <c r="E188" s="9">
        <v>8770</v>
      </c>
      <c r="F188" s="10"/>
      <c r="G188" s="10"/>
      <c r="K188" s="5">
        <v>180</v>
      </c>
      <c r="L188" s="7" t="s">
        <v>213</v>
      </c>
      <c r="M188" s="8">
        <v>21929315</v>
      </c>
      <c r="N188" s="9">
        <v>11400</v>
      </c>
      <c r="O188" s="10"/>
      <c r="P188" s="10"/>
      <c r="T188" s="5">
        <v>180</v>
      </c>
      <c r="U188" s="7" t="s">
        <v>213</v>
      </c>
      <c r="V188" s="8">
        <v>26014161</v>
      </c>
      <c r="W188" s="9">
        <v>5970</v>
      </c>
      <c r="X188" s="10"/>
      <c r="Y188" s="10"/>
      <c r="AC188" s="5">
        <v>180</v>
      </c>
      <c r="AD188" s="7" t="s">
        <v>213</v>
      </c>
      <c r="AE188" s="8">
        <v>35798007</v>
      </c>
      <c r="AF188" s="9">
        <v>31000</v>
      </c>
      <c r="AG188" s="10"/>
      <c r="AH188" s="10"/>
      <c r="AL188" s="5">
        <v>180</v>
      </c>
      <c r="AM188" s="7" t="s">
        <v>213</v>
      </c>
      <c r="AN188" s="8">
        <v>58492759</v>
      </c>
      <c r="AO188" s="9">
        <v>104000</v>
      </c>
      <c r="AP188" s="10"/>
      <c r="AQ188" s="10"/>
      <c r="AU188" s="5">
        <v>180</v>
      </c>
      <c r="AV188" s="7" t="s">
        <v>213</v>
      </c>
      <c r="AW188" s="8">
        <v>40000000</v>
      </c>
      <c r="AX188" s="9">
        <v>2205</v>
      </c>
      <c r="AY188" s="10"/>
      <c r="AZ188" s="10"/>
      <c r="BD188" s="5">
        <v>180</v>
      </c>
      <c r="BE188" s="7" t="s">
        <v>213</v>
      </c>
      <c r="BF188" s="8">
        <v>16068000</v>
      </c>
      <c r="BG188" s="9">
        <v>6410</v>
      </c>
      <c r="BH188" s="10"/>
      <c r="BI188" s="10"/>
    </row>
  </sheetData>
  <phoneticPr fontId="3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변동성(2025-12-31)</vt:lpstr>
    </vt:vector>
  </TitlesOfParts>
  <Company>PwC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Joonsang Park (KR - ASR)</dc:creator>
  <cp:lastModifiedBy>Joonsang Park (KR - ASR)</cp:lastModifiedBy>
  <dcterms:created xsi:type="dcterms:W3CDTF">2026-05-01T13:03:42Z</dcterms:created>
  <dcterms:modified xsi:type="dcterms:W3CDTF">2026-05-01T13:04:41Z</dcterms:modified>
</cp:coreProperties>
</file>